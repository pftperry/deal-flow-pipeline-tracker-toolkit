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rest\Post Fiat\deal-flow-pipeline-tracker\"/>
    </mc:Choice>
  </mc:AlternateContent>
  <xr:revisionPtr revIDLastSave="0" documentId="13_ncr:1_{9F3385CF-89AA-4DE6-9AB2-D47F3D3835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dMe - Validator Instructions" sheetId="1" r:id="rId1"/>
    <sheet name="Settings and Scoring Rules" sheetId="2" r:id="rId2"/>
    <sheet name="Intermediary Directory" sheetId="3" r:id="rId3"/>
    <sheet name="Deal Pipeline Log" sheetId="4" r:id="rId4"/>
    <sheet name="Follow-Up Cadence Tracker" sheetId="5" r:id="rId5"/>
    <sheet name="Ranking Dashboard" sheetId="6" r:id="rId6"/>
    <sheet name="Anonymized Worked Exampl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7" l="1"/>
  <c r="E20" i="7"/>
  <c r="A36" i="6"/>
  <c r="D36" i="6" s="1"/>
  <c r="A35" i="6"/>
  <c r="D35" i="6" s="1"/>
  <c r="E34" i="6"/>
  <c r="D34" i="6"/>
  <c r="C34" i="6"/>
  <c r="A34" i="6"/>
  <c r="B34" i="6" s="1"/>
  <c r="A33" i="6"/>
  <c r="A32" i="6"/>
  <c r="A31" i="6"/>
  <c r="A30" i="6"/>
  <c r="D29" i="6"/>
  <c r="A29" i="6"/>
  <c r="B29" i="6" s="1"/>
  <c r="A28" i="6"/>
  <c r="D28" i="6" s="1"/>
  <c r="A27" i="6"/>
  <c r="D27" i="6" s="1"/>
  <c r="B6" i="6"/>
  <c r="B5" i="6"/>
  <c r="B4" i="6"/>
  <c r="B8" i="7" s="1"/>
  <c r="D72" i="5"/>
  <c r="A72" i="5"/>
  <c r="G72" i="5" s="1"/>
  <c r="A71" i="5"/>
  <c r="C71" i="5" s="1"/>
  <c r="A70" i="5"/>
  <c r="A69" i="5"/>
  <c r="H68" i="5"/>
  <c r="A68" i="5"/>
  <c r="F68" i="5" s="1"/>
  <c r="A67" i="5"/>
  <c r="F67" i="5" s="1"/>
  <c r="E66" i="5"/>
  <c r="A66" i="5"/>
  <c r="F66" i="5" s="1"/>
  <c r="H65" i="5"/>
  <c r="A65" i="5"/>
  <c r="F65" i="5" s="1"/>
  <c r="H64" i="5"/>
  <c r="G64" i="5"/>
  <c r="E64" i="5"/>
  <c r="D64" i="5"/>
  <c r="C64" i="5"/>
  <c r="A64" i="5"/>
  <c r="F64" i="5" s="1"/>
  <c r="H63" i="5"/>
  <c r="D63" i="5"/>
  <c r="C63" i="5"/>
  <c r="A63" i="5"/>
  <c r="F63" i="5" s="1"/>
  <c r="A62" i="5"/>
  <c r="B62" i="5" s="1"/>
  <c r="A61" i="5"/>
  <c r="A60" i="5"/>
  <c r="F60" i="5" s="1"/>
  <c r="H59" i="5"/>
  <c r="A59" i="5"/>
  <c r="F59" i="5" s="1"/>
  <c r="A58" i="5"/>
  <c r="F58" i="5" s="1"/>
  <c r="A57" i="5"/>
  <c r="F57" i="5" s="1"/>
  <c r="E56" i="5"/>
  <c r="D56" i="5"/>
  <c r="C56" i="5"/>
  <c r="A56" i="5"/>
  <c r="F56" i="5" s="1"/>
  <c r="C55" i="5"/>
  <c r="A55" i="5"/>
  <c r="F55" i="5" s="1"/>
  <c r="A54" i="5"/>
  <c r="A53" i="5"/>
  <c r="C52" i="5"/>
  <c r="A52" i="5"/>
  <c r="F52" i="5" s="1"/>
  <c r="A51" i="5"/>
  <c r="F51" i="5" s="1"/>
  <c r="A50" i="5"/>
  <c r="F50" i="5" s="1"/>
  <c r="G49" i="5"/>
  <c r="E49" i="5"/>
  <c r="D49" i="5"/>
  <c r="A49" i="5"/>
  <c r="F49" i="5" s="1"/>
  <c r="A48" i="5"/>
  <c r="F48" i="5" s="1"/>
  <c r="A47" i="5"/>
  <c r="F47" i="5" s="1"/>
  <c r="A46" i="5"/>
  <c r="B46" i="5" s="1"/>
  <c r="A45" i="5"/>
  <c r="A44" i="5"/>
  <c r="F44" i="5" s="1"/>
  <c r="A43" i="5"/>
  <c r="F43" i="5" s="1"/>
  <c r="E42" i="5"/>
  <c r="A42" i="5"/>
  <c r="F42" i="5" s="1"/>
  <c r="E41" i="5"/>
  <c r="A41" i="5"/>
  <c r="F41" i="5" s="1"/>
  <c r="A40" i="5"/>
  <c r="F40" i="5" s="1"/>
  <c r="D39" i="5"/>
  <c r="B39" i="5"/>
  <c r="A39" i="5"/>
  <c r="F39" i="5" s="1"/>
  <c r="A38" i="5"/>
  <c r="B38" i="5" s="1"/>
  <c r="A37" i="5"/>
  <c r="A36" i="5"/>
  <c r="F36" i="5" s="1"/>
  <c r="A35" i="5"/>
  <c r="F35" i="5" s="1"/>
  <c r="A34" i="5"/>
  <c r="F34" i="5" s="1"/>
  <c r="A33" i="5"/>
  <c r="F33" i="5" s="1"/>
  <c r="A29" i="5"/>
  <c r="I29" i="5" s="1"/>
  <c r="A28" i="5"/>
  <c r="J28" i="5" s="1"/>
  <c r="D27" i="5"/>
  <c r="C27" i="5"/>
  <c r="B27" i="5"/>
  <c r="A27" i="5"/>
  <c r="G27" i="5" s="1"/>
  <c r="G26" i="5"/>
  <c r="D26" i="5"/>
  <c r="A26" i="5"/>
  <c r="I26" i="5" s="1"/>
  <c r="A25" i="5"/>
  <c r="E25" i="5" s="1"/>
  <c r="G24" i="5"/>
  <c r="A24" i="5"/>
  <c r="H24" i="5" s="1"/>
  <c r="A23" i="5"/>
  <c r="A22" i="5"/>
  <c r="F22" i="5" s="1"/>
  <c r="H21" i="5"/>
  <c r="F21" i="5"/>
  <c r="E21" i="5"/>
  <c r="C21" i="5"/>
  <c r="A21" i="5"/>
  <c r="I21" i="5" s="1"/>
  <c r="H20" i="5"/>
  <c r="G20" i="5"/>
  <c r="A20" i="5"/>
  <c r="D20" i="5" s="1"/>
  <c r="A19" i="5"/>
  <c r="K18" i="5"/>
  <c r="A18" i="5"/>
  <c r="C18" i="5" s="1"/>
  <c r="A17" i="5"/>
  <c r="E17" i="5" s="1"/>
  <c r="F16" i="5"/>
  <c r="A16" i="5"/>
  <c r="H16" i="5" s="1"/>
  <c r="A15" i="5"/>
  <c r="I15" i="5" s="1"/>
  <c r="A14" i="5"/>
  <c r="A13" i="5"/>
  <c r="B13" i="5" s="1"/>
  <c r="E12" i="5"/>
  <c r="A12" i="5"/>
  <c r="B11" i="5"/>
  <c r="A11" i="5"/>
  <c r="A10" i="5"/>
  <c r="A9" i="5"/>
  <c r="B8" i="5"/>
  <c r="A8" i="5"/>
  <c r="E8" i="5" s="1"/>
  <c r="A7" i="5"/>
  <c r="E7" i="5" s="1"/>
  <c r="A6" i="5"/>
  <c r="B6" i="5" s="1"/>
  <c r="A5" i="5"/>
  <c r="X43" i="4"/>
  <c r="W43" i="4"/>
  <c r="U43" i="4"/>
  <c r="R43" i="4"/>
  <c r="Q43" i="4"/>
  <c r="P43" i="4"/>
  <c r="O43" i="4"/>
  <c r="N43" i="4"/>
  <c r="V43" i="4" s="1"/>
  <c r="M43" i="4"/>
  <c r="E43" i="4"/>
  <c r="X42" i="4"/>
  <c r="W42" i="4"/>
  <c r="U42" i="4"/>
  <c r="R42" i="4"/>
  <c r="Q42" i="4"/>
  <c r="P42" i="4"/>
  <c r="O42" i="4"/>
  <c r="N42" i="4"/>
  <c r="V42" i="4" s="1"/>
  <c r="M42" i="4"/>
  <c r="E42" i="4"/>
  <c r="X41" i="4"/>
  <c r="W41" i="4"/>
  <c r="U41" i="4"/>
  <c r="T41" i="4"/>
  <c r="R41" i="4"/>
  <c r="Q41" i="4"/>
  <c r="P41" i="4"/>
  <c r="O41" i="4"/>
  <c r="N41" i="4"/>
  <c r="S41" i="4" s="1"/>
  <c r="M41" i="4"/>
  <c r="E41" i="4"/>
  <c r="X40" i="4"/>
  <c r="W40" i="4"/>
  <c r="U40" i="4"/>
  <c r="R40" i="4"/>
  <c r="Q40" i="4"/>
  <c r="P40" i="4"/>
  <c r="O40" i="4"/>
  <c r="N40" i="4"/>
  <c r="S40" i="4" s="1"/>
  <c r="T40" i="4" s="1"/>
  <c r="M40" i="4"/>
  <c r="E40" i="4"/>
  <c r="X39" i="4"/>
  <c r="W39" i="4"/>
  <c r="U39" i="4"/>
  <c r="R39" i="4"/>
  <c r="Q39" i="4"/>
  <c r="P39" i="4"/>
  <c r="O39" i="4"/>
  <c r="N39" i="4"/>
  <c r="V39" i="4" s="1"/>
  <c r="M39" i="4"/>
  <c r="E39" i="4"/>
  <c r="X38" i="4"/>
  <c r="W38" i="4"/>
  <c r="U38" i="4"/>
  <c r="S38" i="4"/>
  <c r="T38" i="4" s="1"/>
  <c r="R38" i="4"/>
  <c r="Q38" i="4"/>
  <c r="P38" i="4"/>
  <c r="O38" i="4"/>
  <c r="N38" i="4"/>
  <c r="V38" i="4" s="1"/>
  <c r="M38" i="4"/>
  <c r="E38" i="4"/>
  <c r="X37" i="4"/>
  <c r="W37" i="4"/>
  <c r="U37" i="4"/>
  <c r="R37" i="4"/>
  <c r="Q37" i="4"/>
  <c r="P37" i="4"/>
  <c r="O37" i="4"/>
  <c r="N37" i="4"/>
  <c r="S37" i="4" s="1"/>
  <c r="T37" i="4" s="1"/>
  <c r="M37" i="4"/>
  <c r="E37" i="4"/>
  <c r="X36" i="4"/>
  <c r="W36" i="4"/>
  <c r="U36" i="4"/>
  <c r="R36" i="4"/>
  <c r="Q36" i="4"/>
  <c r="P36" i="4"/>
  <c r="O36" i="4"/>
  <c r="N36" i="4"/>
  <c r="V36" i="4" s="1"/>
  <c r="M36" i="4"/>
  <c r="E36" i="4"/>
  <c r="X35" i="4"/>
  <c r="W35" i="4"/>
  <c r="U35" i="4"/>
  <c r="R35" i="4"/>
  <c r="Q35" i="4"/>
  <c r="P35" i="4"/>
  <c r="O35" i="4"/>
  <c r="N35" i="4"/>
  <c r="S35" i="4" s="1"/>
  <c r="T35" i="4" s="1"/>
  <c r="M35" i="4"/>
  <c r="E35" i="4"/>
  <c r="X34" i="4"/>
  <c r="W34" i="4"/>
  <c r="U34" i="4"/>
  <c r="R34" i="4"/>
  <c r="Q34" i="4"/>
  <c r="P34" i="4"/>
  <c r="O34" i="4"/>
  <c r="N34" i="4"/>
  <c r="S34" i="4" s="1"/>
  <c r="T34" i="4" s="1"/>
  <c r="M34" i="4"/>
  <c r="E34" i="4"/>
  <c r="X33" i="4"/>
  <c r="W33" i="4"/>
  <c r="U33" i="4"/>
  <c r="R33" i="4"/>
  <c r="Q33" i="4"/>
  <c r="P33" i="4"/>
  <c r="O33" i="4"/>
  <c r="N33" i="4"/>
  <c r="V33" i="4" s="1"/>
  <c r="M33" i="4"/>
  <c r="E33" i="4"/>
  <c r="X32" i="4"/>
  <c r="W32" i="4"/>
  <c r="U32" i="4"/>
  <c r="R32" i="4"/>
  <c r="Q32" i="4"/>
  <c r="P32" i="4"/>
  <c r="O32" i="4"/>
  <c r="N32" i="4"/>
  <c r="S32" i="4" s="1"/>
  <c r="T32" i="4" s="1"/>
  <c r="M32" i="4"/>
  <c r="E32" i="4"/>
  <c r="X31" i="4"/>
  <c r="W31" i="4"/>
  <c r="U31" i="4"/>
  <c r="R31" i="4"/>
  <c r="Q31" i="4"/>
  <c r="P31" i="4"/>
  <c r="O31" i="4"/>
  <c r="N31" i="4"/>
  <c r="V31" i="4" s="1"/>
  <c r="M31" i="4"/>
  <c r="E31" i="4"/>
  <c r="X30" i="4"/>
  <c r="W30" i="4"/>
  <c r="U30" i="4"/>
  <c r="R30" i="4"/>
  <c r="Q30" i="4"/>
  <c r="P30" i="4"/>
  <c r="O30" i="4"/>
  <c r="N30" i="4"/>
  <c r="S30" i="4" s="1"/>
  <c r="T30" i="4" s="1"/>
  <c r="M30" i="4"/>
  <c r="E30" i="4"/>
  <c r="X29" i="4"/>
  <c r="W29" i="4"/>
  <c r="U29" i="4"/>
  <c r="R29" i="4"/>
  <c r="Q29" i="4"/>
  <c r="P29" i="4"/>
  <c r="O29" i="4"/>
  <c r="N29" i="4"/>
  <c r="V29" i="4" s="1"/>
  <c r="M29" i="4"/>
  <c r="E29" i="4"/>
  <c r="X28" i="4"/>
  <c r="W28" i="4"/>
  <c r="U28" i="4"/>
  <c r="R28" i="4"/>
  <c r="Q28" i="4"/>
  <c r="P28" i="4"/>
  <c r="O28" i="4"/>
  <c r="N28" i="4"/>
  <c r="V28" i="4" s="1"/>
  <c r="M28" i="4"/>
  <c r="E28" i="4"/>
  <c r="X27" i="4"/>
  <c r="W27" i="4"/>
  <c r="U27" i="4"/>
  <c r="R27" i="4"/>
  <c r="Q27" i="4"/>
  <c r="P27" i="4"/>
  <c r="O27" i="4"/>
  <c r="N27" i="4"/>
  <c r="S27" i="4" s="1"/>
  <c r="T27" i="4" s="1"/>
  <c r="M27" i="4"/>
  <c r="E27" i="4"/>
  <c r="X26" i="4"/>
  <c r="W26" i="4"/>
  <c r="U26" i="4"/>
  <c r="S26" i="4"/>
  <c r="T26" i="4" s="1"/>
  <c r="R26" i="4"/>
  <c r="Q26" i="4"/>
  <c r="P26" i="4"/>
  <c r="O26" i="4"/>
  <c r="N26" i="4"/>
  <c r="V26" i="4" s="1"/>
  <c r="M26" i="4"/>
  <c r="E26" i="4"/>
  <c r="X25" i="4"/>
  <c r="W25" i="4"/>
  <c r="U25" i="4"/>
  <c r="R25" i="4"/>
  <c r="Q25" i="4"/>
  <c r="P25" i="4"/>
  <c r="O25" i="4"/>
  <c r="N25" i="4"/>
  <c r="V25" i="4" s="1"/>
  <c r="M25" i="4"/>
  <c r="E25" i="4"/>
  <c r="X24" i="4"/>
  <c r="W24" i="4"/>
  <c r="U24" i="4"/>
  <c r="T24" i="4"/>
  <c r="R24" i="4"/>
  <c r="Q24" i="4"/>
  <c r="P24" i="4"/>
  <c r="O24" i="4"/>
  <c r="N24" i="4"/>
  <c r="S24" i="4" s="1"/>
  <c r="M24" i="4"/>
  <c r="E24" i="4"/>
  <c r="X23" i="4"/>
  <c r="W23" i="4"/>
  <c r="U23" i="4"/>
  <c r="R23" i="4"/>
  <c r="Q23" i="4"/>
  <c r="P23" i="4"/>
  <c r="O23" i="4"/>
  <c r="N23" i="4"/>
  <c r="V23" i="4" s="1"/>
  <c r="M23" i="4"/>
  <c r="E23" i="4"/>
  <c r="X22" i="4"/>
  <c r="W22" i="4"/>
  <c r="U22" i="4"/>
  <c r="R22" i="4"/>
  <c r="Q22" i="4"/>
  <c r="P22" i="4"/>
  <c r="O22" i="4"/>
  <c r="N22" i="4"/>
  <c r="S22" i="4" s="1"/>
  <c r="T22" i="4" s="1"/>
  <c r="M22" i="4"/>
  <c r="E22" i="4"/>
  <c r="X21" i="4"/>
  <c r="W21" i="4"/>
  <c r="U21" i="4"/>
  <c r="R21" i="4"/>
  <c r="Q21" i="4"/>
  <c r="P21" i="4"/>
  <c r="O21" i="4"/>
  <c r="N21" i="4"/>
  <c r="V21" i="4" s="1"/>
  <c r="M21" i="4"/>
  <c r="E21" i="4"/>
  <c r="X20" i="4"/>
  <c r="W20" i="4"/>
  <c r="U20" i="4"/>
  <c r="S20" i="4"/>
  <c r="T20" i="4" s="1"/>
  <c r="R20" i="4"/>
  <c r="Q20" i="4"/>
  <c r="P20" i="4"/>
  <c r="O20" i="4"/>
  <c r="N20" i="4"/>
  <c r="V20" i="4" s="1"/>
  <c r="M20" i="4"/>
  <c r="E20" i="4"/>
  <c r="X19" i="4"/>
  <c r="W19" i="4"/>
  <c r="U19" i="4"/>
  <c r="R19" i="4"/>
  <c r="Q19" i="4"/>
  <c r="P19" i="4"/>
  <c r="O19" i="4"/>
  <c r="N19" i="4"/>
  <c r="S19" i="4" s="1"/>
  <c r="T19" i="4" s="1"/>
  <c r="M19" i="4"/>
  <c r="E19" i="4"/>
  <c r="X18" i="4"/>
  <c r="W18" i="4"/>
  <c r="U18" i="4"/>
  <c r="R18" i="4"/>
  <c r="Q18" i="4"/>
  <c r="P18" i="4"/>
  <c r="O18" i="4"/>
  <c r="N18" i="4"/>
  <c r="V18" i="4" s="1"/>
  <c r="M18" i="4"/>
  <c r="E18" i="4"/>
  <c r="X17" i="4"/>
  <c r="W17" i="4"/>
  <c r="U17" i="4"/>
  <c r="R17" i="4"/>
  <c r="Q17" i="4"/>
  <c r="P17" i="4"/>
  <c r="O17" i="4"/>
  <c r="N17" i="4"/>
  <c r="V17" i="4" s="1"/>
  <c r="M17" i="4"/>
  <c r="E17" i="4"/>
  <c r="X16" i="4"/>
  <c r="W16" i="4"/>
  <c r="U16" i="4"/>
  <c r="R16" i="4"/>
  <c r="Q16" i="4"/>
  <c r="P16" i="4"/>
  <c r="O16" i="4"/>
  <c r="N16" i="4"/>
  <c r="S16" i="4" s="1"/>
  <c r="T16" i="4" s="1"/>
  <c r="M16" i="4"/>
  <c r="E16" i="4"/>
  <c r="U15" i="4"/>
  <c r="Q15" i="4"/>
  <c r="P15" i="4"/>
  <c r="O15" i="4"/>
  <c r="N15" i="4"/>
  <c r="M15" i="4"/>
  <c r="E15" i="4"/>
  <c r="U14" i="4"/>
  <c r="Q14" i="4"/>
  <c r="P14" i="4"/>
  <c r="O14" i="4"/>
  <c r="N14" i="4"/>
  <c r="M14" i="4"/>
  <c r="E14" i="4"/>
  <c r="U13" i="4"/>
  <c r="Q13" i="4"/>
  <c r="P13" i="4"/>
  <c r="O13" i="4"/>
  <c r="N13" i="4"/>
  <c r="V13" i="4" s="1"/>
  <c r="W13" i="4" s="1"/>
  <c r="M13" i="4"/>
  <c r="E13" i="4"/>
  <c r="U12" i="4"/>
  <c r="Q12" i="4"/>
  <c r="P12" i="4"/>
  <c r="O12" i="4"/>
  <c r="N12" i="4"/>
  <c r="L13" i="3" s="1"/>
  <c r="M12" i="4"/>
  <c r="X12" i="4" s="1"/>
  <c r="E12" i="4"/>
  <c r="U11" i="4"/>
  <c r="Q11" i="4"/>
  <c r="P11" i="4"/>
  <c r="O11" i="4"/>
  <c r="N11" i="4"/>
  <c r="M11" i="4"/>
  <c r="E11" i="4"/>
  <c r="U10" i="4"/>
  <c r="Q10" i="4"/>
  <c r="P10" i="4"/>
  <c r="O10" i="4"/>
  <c r="N10" i="4"/>
  <c r="V10" i="4" s="1"/>
  <c r="G39" i="5" s="1"/>
  <c r="M10" i="4"/>
  <c r="R10" i="4" s="1"/>
  <c r="S10" i="4" s="1"/>
  <c r="E10" i="4"/>
  <c r="U9" i="4"/>
  <c r="Q9" i="4"/>
  <c r="P9" i="4"/>
  <c r="O9" i="4"/>
  <c r="N9" i="4"/>
  <c r="V9" i="4" s="1"/>
  <c r="M9" i="4"/>
  <c r="E9" i="4"/>
  <c r="U8" i="4"/>
  <c r="Q8" i="4"/>
  <c r="P8" i="4"/>
  <c r="O8" i="4"/>
  <c r="N8" i="4"/>
  <c r="L8" i="3" s="1"/>
  <c r="M8" i="4"/>
  <c r="E8" i="4"/>
  <c r="U7" i="4"/>
  <c r="Q7" i="4"/>
  <c r="P7" i="4"/>
  <c r="O7" i="4"/>
  <c r="N7" i="4"/>
  <c r="V7" i="4" s="1"/>
  <c r="W7" i="4" s="1"/>
  <c r="H36" i="5" s="1"/>
  <c r="M7" i="4"/>
  <c r="X7" i="4" s="1"/>
  <c r="E7" i="4"/>
  <c r="C36" i="5" s="1"/>
  <c r="U6" i="4"/>
  <c r="Q6" i="4"/>
  <c r="P6" i="4"/>
  <c r="O6" i="4"/>
  <c r="N6" i="4"/>
  <c r="M6" i="4"/>
  <c r="E6" i="4"/>
  <c r="U5" i="4"/>
  <c r="Q5" i="4"/>
  <c r="P5" i="4"/>
  <c r="O5" i="4"/>
  <c r="N5" i="4"/>
  <c r="V5" i="4" s="1"/>
  <c r="G34" i="5" s="1"/>
  <c r="M5" i="4"/>
  <c r="E5" i="4"/>
  <c r="U4" i="4"/>
  <c r="Q4" i="4"/>
  <c r="P4" i="4"/>
  <c r="O4" i="4"/>
  <c r="N4" i="4"/>
  <c r="M4" i="4"/>
  <c r="X4" i="4" s="1"/>
  <c r="E4" i="4"/>
  <c r="M28" i="3"/>
  <c r="L28" i="3"/>
  <c r="K28" i="3"/>
  <c r="M27" i="3"/>
  <c r="L27" i="3"/>
  <c r="K27" i="3"/>
  <c r="M26" i="3"/>
  <c r="L26" i="3"/>
  <c r="K26" i="3"/>
  <c r="M25" i="3"/>
  <c r="L25" i="3"/>
  <c r="K25" i="3"/>
  <c r="M24" i="3"/>
  <c r="L24" i="3"/>
  <c r="K24" i="3"/>
  <c r="M23" i="3"/>
  <c r="L23" i="3"/>
  <c r="K23" i="3"/>
  <c r="M22" i="3"/>
  <c r="L22" i="3"/>
  <c r="K22" i="3"/>
  <c r="M21" i="3"/>
  <c r="L21" i="3"/>
  <c r="K21" i="3"/>
  <c r="M20" i="3"/>
  <c r="L20" i="3"/>
  <c r="K20" i="3"/>
  <c r="M19" i="3"/>
  <c r="L19" i="3"/>
  <c r="K19" i="3"/>
  <c r="M18" i="3"/>
  <c r="L18" i="3"/>
  <c r="K18" i="3"/>
  <c r="M17" i="3"/>
  <c r="L17" i="3"/>
  <c r="K17" i="3"/>
  <c r="M16" i="3"/>
  <c r="L16" i="3"/>
  <c r="K16" i="3"/>
  <c r="M15" i="3"/>
  <c r="L15" i="3"/>
  <c r="K15" i="3"/>
  <c r="M14" i="3"/>
  <c r="L14" i="3"/>
  <c r="K14" i="3"/>
  <c r="K13" i="3"/>
  <c r="K12" i="3"/>
  <c r="K11" i="3"/>
  <c r="L10" i="3"/>
  <c r="K10" i="3"/>
  <c r="L9" i="3"/>
  <c r="K9" i="3"/>
  <c r="K8" i="3"/>
  <c r="K7" i="3"/>
  <c r="K6" i="3"/>
  <c r="K5" i="3"/>
  <c r="L4" i="3"/>
  <c r="K4" i="3"/>
  <c r="B16" i="2"/>
  <c r="C16" i="2" s="1"/>
  <c r="E32" i="1" s="1"/>
  <c r="E34" i="1"/>
  <c r="E29" i="1"/>
  <c r="E28" i="1"/>
  <c r="E27" i="1"/>
  <c r="C40" i="1"/>
  <c r="C42" i="1"/>
  <c r="C39" i="1"/>
  <c r="C41" i="1"/>
  <c r="B45" i="6"/>
  <c r="C43" i="1"/>
  <c r="R4" i="4" l="1"/>
  <c r="S4" i="4" s="1"/>
  <c r="X9" i="4"/>
  <c r="E16" i="5"/>
  <c r="B20" i="5"/>
  <c r="H51" i="5"/>
  <c r="B63" i="5"/>
  <c r="G71" i="5"/>
  <c r="L5" i="3"/>
  <c r="J5" i="5"/>
  <c r="K20" i="5"/>
  <c r="B22" i="5"/>
  <c r="E63" i="5"/>
  <c r="E72" i="5"/>
  <c r="R12" i="4"/>
  <c r="S12" i="4" s="1"/>
  <c r="C44" i="5"/>
  <c r="C8" i="5"/>
  <c r="D8" i="5" s="1"/>
  <c r="F8" i="5" s="1"/>
  <c r="G8" i="5" s="1"/>
  <c r="H8" i="5" s="1"/>
  <c r="C13" i="5"/>
  <c r="D13" i="5" s="1"/>
  <c r="E34" i="5"/>
  <c r="H52" i="5"/>
  <c r="X15" i="4"/>
  <c r="S21" i="4"/>
  <c r="T21" i="4" s="1"/>
  <c r="S42" i="4"/>
  <c r="T42" i="4" s="1"/>
  <c r="B5" i="5"/>
  <c r="E13" i="5"/>
  <c r="C22" i="5"/>
  <c r="C26" i="5"/>
  <c r="F27" i="5"/>
  <c r="H56" i="5"/>
  <c r="C60" i="5"/>
  <c r="G63" i="5"/>
  <c r="B35" i="6"/>
  <c r="D22" i="5"/>
  <c r="C39" i="5"/>
  <c r="D21" i="5"/>
  <c r="G22" i="5"/>
  <c r="E26" i="5"/>
  <c r="I28" i="5"/>
  <c r="C48" i="5"/>
  <c r="B51" i="5"/>
  <c r="G57" i="5"/>
  <c r="D71" i="5"/>
  <c r="S33" i="4"/>
  <c r="T33" i="4" s="1"/>
  <c r="S43" i="4"/>
  <c r="T43" i="4" s="1"/>
  <c r="E48" i="5"/>
  <c r="G51" i="5"/>
  <c r="H57" i="5"/>
  <c r="E71" i="5"/>
  <c r="R15" i="4"/>
  <c r="S15" i="4" s="1"/>
  <c r="H17" i="5"/>
  <c r="G29" i="5"/>
  <c r="H47" i="5"/>
  <c r="X8" i="4"/>
  <c r="S29" i="4"/>
  <c r="T29" i="4" s="1"/>
  <c r="V34" i="4"/>
  <c r="I17" i="5"/>
  <c r="C24" i="5"/>
  <c r="H29" i="5"/>
  <c r="D41" i="5"/>
  <c r="B55" i="5"/>
  <c r="C68" i="5"/>
  <c r="K17" i="5"/>
  <c r="J29" i="5"/>
  <c r="C30" i="6"/>
  <c r="W9" i="4"/>
  <c r="V19" i="4"/>
  <c r="L11" i="3"/>
  <c r="W5" i="4"/>
  <c r="R8" i="4"/>
  <c r="S8" i="4" s="1"/>
  <c r="S17" i="4"/>
  <c r="T17" i="4" s="1"/>
  <c r="C5" i="5"/>
  <c r="D5" i="5" s="1"/>
  <c r="B15" i="5"/>
  <c r="B17" i="5"/>
  <c r="I20" i="5"/>
  <c r="G21" i="5"/>
  <c r="E22" i="5"/>
  <c r="I24" i="5"/>
  <c r="F26" i="5"/>
  <c r="E27" i="5"/>
  <c r="B29" i="5"/>
  <c r="K29" i="5"/>
  <c r="B35" i="5"/>
  <c r="E39" i="5"/>
  <c r="B47" i="5"/>
  <c r="D48" i="5"/>
  <c r="H49" i="5"/>
  <c r="D55" i="5"/>
  <c r="G56" i="5"/>
  <c r="E58" i="5"/>
  <c r="H60" i="5"/>
  <c r="G66" i="5"/>
  <c r="B27" i="6"/>
  <c r="G15" i="5"/>
  <c r="C17" i="5"/>
  <c r="C29" i="5"/>
  <c r="C47" i="5"/>
  <c r="E55" i="5"/>
  <c r="G58" i="5"/>
  <c r="R9" i="4"/>
  <c r="M11" i="3" s="1"/>
  <c r="X10" i="4"/>
  <c r="E27" i="6" s="1"/>
  <c r="R13" i="4"/>
  <c r="S13" i="4" s="1"/>
  <c r="V22" i="4"/>
  <c r="S25" i="4"/>
  <c r="T25" i="4" s="1"/>
  <c r="S28" i="4"/>
  <c r="T28" i="4" s="1"/>
  <c r="S36" i="4"/>
  <c r="T36" i="4" s="1"/>
  <c r="E5" i="5"/>
  <c r="H15" i="5"/>
  <c r="D17" i="5"/>
  <c r="J21" i="5"/>
  <c r="H22" i="5"/>
  <c r="F25" i="5"/>
  <c r="H26" i="5"/>
  <c r="H27" i="5"/>
  <c r="D29" i="5"/>
  <c r="D33" i="5"/>
  <c r="C40" i="5"/>
  <c r="D47" i="5"/>
  <c r="G48" i="5"/>
  <c r="E50" i="5"/>
  <c r="G55" i="5"/>
  <c r="D65" i="5"/>
  <c r="B67" i="5"/>
  <c r="B28" i="6"/>
  <c r="S18" i="4"/>
  <c r="T18" i="4" s="1"/>
  <c r="S31" i="4"/>
  <c r="T31" i="4" s="1"/>
  <c r="V41" i="4"/>
  <c r="F17" i="5"/>
  <c r="B21" i="5"/>
  <c r="K21" i="5"/>
  <c r="K22" i="5"/>
  <c r="G25" i="5"/>
  <c r="K27" i="5"/>
  <c r="E29" i="5"/>
  <c r="E33" i="5"/>
  <c r="D40" i="5"/>
  <c r="B43" i="5"/>
  <c r="E47" i="5"/>
  <c r="H48" i="5"/>
  <c r="G50" i="5"/>
  <c r="H55" i="5"/>
  <c r="D57" i="5"/>
  <c r="B59" i="5"/>
  <c r="E65" i="5"/>
  <c r="G67" i="5"/>
  <c r="B71" i="5"/>
  <c r="C28" i="6"/>
  <c r="R6" i="4"/>
  <c r="S6" i="4" s="1"/>
  <c r="R14" i="4"/>
  <c r="S23" i="4"/>
  <c r="T23" i="4" s="1"/>
  <c r="S39" i="4"/>
  <c r="T39" i="4" s="1"/>
  <c r="F13" i="5"/>
  <c r="G13" i="5" s="1"/>
  <c r="H13" i="5" s="1"/>
  <c r="K13" i="5" s="1"/>
  <c r="G17" i="5"/>
  <c r="F29" i="5"/>
  <c r="E40" i="5"/>
  <c r="G47" i="5"/>
  <c r="E57" i="5"/>
  <c r="G59" i="5"/>
  <c r="G65" i="5"/>
  <c r="H67" i="5"/>
  <c r="E35" i="1"/>
  <c r="S11" i="4"/>
  <c r="T11" i="4" s="1"/>
  <c r="W11" i="4"/>
  <c r="H40" i="5" s="1"/>
  <c r="L12" i="3"/>
  <c r="E9" i="5"/>
  <c r="C9" i="5"/>
  <c r="D9" i="5" s="1"/>
  <c r="B9" i="5"/>
  <c r="J9" i="5"/>
  <c r="G19" i="5"/>
  <c r="H19" i="5"/>
  <c r="F19" i="5"/>
  <c r="E19" i="5"/>
  <c r="D19" i="5"/>
  <c r="C19" i="5"/>
  <c r="K19" i="5"/>
  <c r="B19" i="5"/>
  <c r="F37" i="5"/>
  <c r="E37" i="5"/>
  <c r="D37" i="5"/>
  <c r="C37" i="5"/>
  <c r="B37" i="5"/>
  <c r="F54" i="5"/>
  <c r="H54" i="5"/>
  <c r="G54" i="5"/>
  <c r="E54" i="5"/>
  <c r="D54" i="5"/>
  <c r="C54" i="5"/>
  <c r="G42" i="5"/>
  <c r="M4" i="3"/>
  <c r="V27" i="4"/>
  <c r="E14" i="5"/>
  <c r="C14" i="5"/>
  <c r="D14" i="5" s="1"/>
  <c r="B14" i="5"/>
  <c r="I19" i="5"/>
  <c r="F46" i="5"/>
  <c r="H46" i="5"/>
  <c r="G46" i="5"/>
  <c r="E46" i="5"/>
  <c r="D46" i="5"/>
  <c r="C46" i="5"/>
  <c r="J19" i="5"/>
  <c r="F45" i="5"/>
  <c r="H45" i="5"/>
  <c r="G45" i="5"/>
  <c r="E45" i="5"/>
  <c r="D45" i="5"/>
  <c r="C45" i="5"/>
  <c r="B45" i="5"/>
  <c r="S14" i="4"/>
  <c r="T14" i="4" s="1"/>
  <c r="L7" i="3"/>
  <c r="X14" i="4"/>
  <c r="E36" i="6" s="1"/>
  <c r="F38" i="5"/>
  <c r="H38" i="5"/>
  <c r="G38" i="5"/>
  <c r="E38" i="5"/>
  <c r="D38" i="5"/>
  <c r="C38" i="5"/>
  <c r="B54" i="5"/>
  <c r="M8" i="3"/>
  <c r="V11" i="4"/>
  <c r="G40" i="5" s="1"/>
  <c r="J14" i="5"/>
  <c r="K23" i="5"/>
  <c r="C23" i="5"/>
  <c r="H23" i="5"/>
  <c r="G23" i="5"/>
  <c r="F23" i="5"/>
  <c r="E23" i="5"/>
  <c r="D23" i="5"/>
  <c r="B23" i="5"/>
  <c r="F69" i="5"/>
  <c r="H69" i="5"/>
  <c r="G69" i="5"/>
  <c r="E69" i="5"/>
  <c r="D69" i="5"/>
  <c r="C69" i="5"/>
  <c r="B69" i="5"/>
  <c r="E33" i="6"/>
  <c r="C33" i="6"/>
  <c r="D33" i="6"/>
  <c r="B33" i="6"/>
  <c r="C29" i="6"/>
  <c r="X6" i="4"/>
  <c r="E29" i="6" s="1"/>
  <c r="M13" i="3"/>
  <c r="R5" i="4"/>
  <c r="W10" i="4"/>
  <c r="H39" i="5" s="1"/>
  <c r="V14" i="4"/>
  <c r="G43" i="5" s="1"/>
  <c r="V30" i="4"/>
  <c r="V35" i="4"/>
  <c r="V40" i="4"/>
  <c r="I23" i="5"/>
  <c r="F61" i="5"/>
  <c r="H61" i="5"/>
  <c r="G61" i="5"/>
  <c r="E61" i="5"/>
  <c r="D61" i="5"/>
  <c r="C61" i="5"/>
  <c r="B61" i="5"/>
  <c r="F70" i="5"/>
  <c r="H70" i="5"/>
  <c r="G70" i="5"/>
  <c r="E70" i="5"/>
  <c r="D70" i="5"/>
  <c r="C70" i="5"/>
  <c r="E28" i="6"/>
  <c r="M9" i="3"/>
  <c r="L6" i="3"/>
  <c r="V6" i="4"/>
  <c r="R7" i="4"/>
  <c r="S7" i="4" s="1"/>
  <c r="R11" i="4"/>
  <c r="X11" i="4"/>
  <c r="E35" i="6" s="1"/>
  <c r="W14" i="4"/>
  <c r="H43" i="5" s="1"/>
  <c r="J18" i="5"/>
  <c r="B18" i="5"/>
  <c r="I18" i="5"/>
  <c r="H18" i="5"/>
  <c r="G18" i="5"/>
  <c r="F18" i="5"/>
  <c r="E18" i="5"/>
  <c r="D18" i="5"/>
  <c r="J23" i="5"/>
  <c r="D28" i="5"/>
  <c r="H28" i="5"/>
  <c r="G28" i="5"/>
  <c r="F28" i="5"/>
  <c r="E28" i="5"/>
  <c r="C28" i="5"/>
  <c r="K28" i="5"/>
  <c r="B28" i="5"/>
  <c r="F53" i="5"/>
  <c r="H53" i="5"/>
  <c r="G53" i="5"/>
  <c r="E53" i="5"/>
  <c r="D53" i="5"/>
  <c r="C53" i="5"/>
  <c r="B53" i="5"/>
  <c r="F62" i="5"/>
  <c r="H62" i="5"/>
  <c r="G62" i="5"/>
  <c r="E62" i="5"/>
  <c r="D62" i="5"/>
  <c r="C62" i="5"/>
  <c r="B70" i="5"/>
  <c r="E31" i="6"/>
  <c r="V8" i="4"/>
  <c r="G37" i="5" s="1"/>
  <c r="V16" i="4"/>
  <c r="V24" i="4"/>
  <c r="V32" i="4"/>
  <c r="V37" i="4"/>
  <c r="J10" i="5"/>
  <c r="B10" i="5"/>
  <c r="G16" i="5"/>
  <c r="J24" i="5"/>
  <c r="H25" i="5"/>
  <c r="H34" i="5"/>
  <c r="H42" i="5"/>
  <c r="H50" i="5"/>
  <c r="H58" i="5"/>
  <c r="H66" i="5"/>
  <c r="B31" i="6"/>
  <c r="J6" i="5"/>
  <c r="C10" i="5"/>
  <c r="D10" i="5" s="1"/>
  <c r="J11" i="5"/>
  <c r="K15" i="5"/>
  <c r="C15" i="5"/>
  <c r="J15" i="5"/>
  <c r="I16" i="5"/>
  <c r="J20" i="5"/>
  <c r="B24" i="5"/>
  <c r="K24" i="5"/>
  <c r="I25" i="5"/>
  <c r="B36" i="5"/>
  <c r="B44" i="5"/>
  <c r="B52" i="5"/>
  <c r="B60" i="5"/>
  <c r="B68" i="5"/>
  <c r="C31" i="6"/>
  <c r="J16" i="5"/>
  <c r="J25" i="5"/>
  <c r="D31" i="6"/>
  <c r="X5" i="4"/>
  <c r="X13" i="4"/>
  <c r="E30" i="6" s="1"/>
  <c r="V15" i="4"/>
  <c r="W15" i="4" s="1"/>
  <c r="H44" i="5" s="1"/>
  <c r="C6" i="5"/>
  <c r="C7" i="5"/>
  <c r="D7" i="5" s="1"/>
  <c r="F7" i="5" s="1"/>
  <c r="G7" i="5" s="1"/>
  <c r="H7" i="5" s="1"/>
  <c r="J7" i="5"/>
  <c r="E10" i="5"/>
  <c r="C11" i="5"/>
  <c r="D11" i="5" s="1"/>
  <c r="J12" i="5"/>
  <c r="D15" i="5"/>
  <c r="B16" i="5"/>
  <c r="K16" i="5"/>
  <c r="C20" i="5"/>
  <c r="D24" i="5"/>
  <c r="B25" i="5"/>
  <c r="K25" i="5"/>
  <c r="B34" i="5"/>
  <c r="C35" i="5"/>
  <c r="D36" i="5"/>
  <c r="B42" i="5"/>
  <c r="C43" i="5"/>
  <c r="D44" i="5"/>
  <c r="B50" i="5"/>
  <c r="C51" i="5"/>
  <c r="D52" i="5"/>
  <c r="B58" i="5"/>
  <c r="C59" i="5"/>
  <c r="D60" i="5"/>
  <c r="B66" i="5"/>
  <c r="C67" i="5"/>
  <c r="D68" i="5"/>
  <c r="H72" i="5"/>
  <c r="F72" i="5"/>
  <c r="C32" i="6"/>
  <c r="B32" i="6"/>
  <c r="E22" i="7"/>
  <c r="B9" i="6"/>
  <c r="V4" i="4"/>
  <c r="W4" i="4" s="1"/>
  <c r="V12" i="4"/>
  <c r="G41" i="5" s="1"/>
  <c r="D6" i="5"/>
  <c r="B7" i="5"/>
  <c r="J8" i="5"/>
  <c r="B12" i="5"/>
  <c r="E15" i="5"/>
  <c r="C16" i="5"/>
  <c r="J17" i="5"/>
  <c r="E20" i="5"/>
  <c r="I22" i="5"/>
  <c r="E24" i="5"/>
  <c r="C25" i="5"/>
  <c r="J26" i="5"/>
  <c r="B26" i="5"/>
  <c r="K26" i="5"/>
  <c r="I27" i="5"/>
  <c r="B33" i="5"/>
  <c r="C34" i="5"/>
  <c r="D35" i="5"/>
  <c r="E36" i="5"/>
  <c r="B41" i="5"/>
  <c r="C42" i="5"/>
  <c r="D43" i="5"/>
  <c r="E44" i="5"/>
  <c r="B49" i="5"/>
  <c r="C50" i="5"/>
  <c r="D51" i="5"/>
  <c r="E52" i="5"/>
  <c r="B57" i="5"/>
  <c r="C58" i="5"/>
  <c r="D59" i="5"/>
  <c r="E60" i="5"/>
  <c r="B65" i="5"/>
  <c r="C66" i="5"/>
  <c r="D67" i="5"/>
  <c r="E68" i="5"/>
  <c r="B72" i="5"/>
  <c r="B7" i="6"/>
  <c r="B8" i="6" s="1"/>
  <c r="D32" i="6"/>
  <c r="E6" i="5"/>
  <c r="E11" i="5"/>
  <c r="C12" i="5"/>
  <c r="D12" i="5" s="1"/>
  <c r="F12" i="5" s="1"/>
  <c r="G12" i="5" s="1"/>
  <c r="H12" i="5" s="1"/>
  <c r="I12" i="5" s="1"/>
  <c r="I13" i="5"/>
  <c r="F15" i="5"/>
  <c r="D16" i="5"/>
  <c r="F20" i="5"/>
  <c r="J22" i="5"/>
  <c r="F24" i="5"/>
  <c r="D25" i="5"/>
  <c r="J27" i="5"/>
  <c r="C33" i="5"/>
  <c r="D34" i="5"/>
  <c r="E35" i="5"/>
  <c r="G36" i="5"/>
  <c r="B40" i="5"/>
  <c r="C41" i="5"/>
  <c r="D42" i="5"/>
  <c r="E43" i="5"/>
  <c r="B48" i="5"/>
  <c r="C49" i="5"/>
  <c r="D50" i="5"/>
  <c r="E51" i="5"/>
  <c r="G52" i="5"/>
  <c r="B56" i="5"/>
  <c r="C57" i="5"/>
  <c r="D58" i="5"/>
  <c r="E59" i="5"/>
  <c r="G60" i="5"/>
  <c r="B64" i="5"/>
  <c r="C65" i="5"/>
  <c r="D66" i="5"/>
  <c r="E67" i="5"/>
  <c r="G68" i="5"/>
  <c r="H71" i="5"/>
  <c r="F71" i="5"/>
  <c r="C72" i="5"/>
  <c r="D30" i="6"/>
  <c r="B30" i="6"/>
  <c r="B37" i="6" s="1"/>
  <c r="E32" i="6"/>
  <c r="B36" i="6"/>
  <c r="C36" i="6"/>
  <c r="C27" i="6"/>
  <c r="C35" i="6"/>
  <c r="D37" i="6" l="1"/>
  <c r="F5" i="5"/>
  <c r="G5" i="5" s="1"/>
  <c r="H5" i="5" s="1"/>
  <c r="E37" i="6"/>
  <c r="M7" i="3"/>
  <c r="W8" i="4"/>
  <c r="H37" i="5" s="1"/>
  <c r="F6" i="5"/>
  <c r="G6" i="5" s="1"/>
  <c r="H6" i="5" s="1"/>
  <c r="I6" i="5" s="1"/>
  <c r="B10" i="6"/>
  <c r="B10" i="7" s="1"/>
  <c r="F11" i="5"/>
  <c r="G11" i="5" s="1"/>
  <c r="H11" i="5" s="1"/>
  <c r="K11" i="5" s="1"/>
  <c r="F14" i="5"/>
  <c r="G14" i="5" s="1"/>
  <c r="H14" i="5" s="1"/>
  <c r="K14" i="5" s="1"/>
  <c r="W12" i="4"/>
  <c r="H41" i="5" s="1"/>
  <c r="C37" i="6"/>
  <c r="G44" i="5"/>
  <c r="F10" i="5"/>
  <c r="G10" i="5" s="1"/>
  <c r="H10" i="5" s="1"/>
  <c r="S9" i="4"/>
  <c r="M6" i="3"/>
  <c r="M10" i="3"/>
  <c r="K6" i="5"/>
  <c r="F9" i="5"/>
  <c r="G9" i="5" s="1"/>
  <c r="H9" i="5" s="1"/>
  <c r="I7" i="5"/>
  <c r="K7" i="5"/>
  <c r="I10" i="5"/>
  <c r="K10" i="5"/>
  <c r="T6" i="4"/>
  <c r="K8" i="5"/>
  <c r="I8" i="5"/>
  <c r="B9" i="7"/>
  <c r="K12" i="5"/>
  <c r="M5" i="3"/>
  <c r="S5" i="4"/>
  <c r="J13" i="5"/>
  <c r="M12" i="3"/>
  <c r="H33" i="5"/>
  <c r="G35" i="5"/>
  <c r="W6" i="4"/>
  <c r="H35" i="5" s="1"/>
  <c r="C41" i="6"/>
  <c r="D41" i="6" s="1"/>
  <c r="B41" i="6"/>
  <c r="G33" i="5"/>
  <c r="I5" i="5" l="1"/>
  <c r="K5" i="5"/>
  <c r="B14" i="6"/>
  <c r="B42" i="6"/>
  <c r="I14" i="5"/>
  <c r="I11" i="5"/>
  <c r="B11" i="6"/>
  <c r="B11" i="7" s="1"/>
  <c r="K9" i="5"/>
  <c r="I9" i="5"/>
  <c r="C42" i="6"/>
  <c r="D42" i="6" s="1"/>
  <c r="T5" i="4"/>
  <c r="T15" i="4"/>
  <c r="T10" i="4"/>
  <c r="T13" i="4"/>
  <c r="T12" i="4"/>
  <c r="T9" i="4"/>
  <c r="T4" i="4"/>
  <c r="T8" i="4"/>
  <c r="T7" i="4"/>
  <c r="B12" i="6" l="1"/>
  <c r="B13" i="6"/>
  <c r="B12" i="7"/>
  <c r="E30" i="1"/>
  <c r="B23" i="6"/>
  <c r="D21" i="6"/>
  <c r="F19" i="6"/>
  <c r="F22" i="6"/>
  <c r="C21" i="6"/>
  <c r="E19" i="6"/>
  <c r="D22" i="6"/>
  <c r="F20" i="6"/>
  <c r="C19" i="6"/>
  <c r="E22" i="6"/>
  <c r="C20" i="6"/>
  <c r="C22" i="6"/>
  <c r="B20" i="6"/>
  <c r="B22" i="6"/>
  <c r="D19" i="6"/>
  <c r="F21" i="6"/>
  <c r="B19" i="6"/>
  <c r="F23" i="6"/>
  <c r="E21" i="6"/>
  <c r="E23" i="6"/>
  <c r="B21" i="6"/>
  <c r="B16" i="7" s="1"/>
  <c r="D23" i="6"/>
  <c r="D20" i="6"/>
  <c r="C23" i="6"/>
  <c r="E20" i="6"/>
  <c r="B15" i="6"/>
  <c r="E23" i="7"/>
  <c r="B15" i="7" l="1"/>
  <c r="B13" i="7"/>
  <c r="E33" i="1"/>
  <c r="B14" i="7"/>
  <c r="B44" i="6"/>
  <c r="A26" i="7" s="1"/>
  <c r="E31" i="1"/>
</calcChain>
</file>

<file path=xl/sharedStrings.xml><?xml version="1.0" encoding="utf-8"?>
<sst xmlns="http://schemas.openxmlformats.org/spreadsheetml/2006/main" count="471" uniqueCount="347">
  <si>
    <t>Deal Flow Pipeline Tracker Toolkit - v1.0</t>
  </si>
  <si>
    <t>Post Fiat Analytical Infrastructure Library | LMM private equity deal sourcing | Formula-driven, anonymized</t>
  </si>
  <si>
    <t>Purpose</t>
  </si>
  <si>
    <t>Tracks bankers, brokers and other intermediaries, ranks a live deal pipeline with a transparent 0-100 priority score, and flags overdue deal next actions and lapsed intermediary touch cadences on one dashboard.</t>
  </si>
  <si>
    <t>How to use</t>
  </si>
  <si>
    <t>1. Set the as-of date, EBITDA band, weights, stage probabilities and cadences on Settings and Scoring Rules (yellow cells).</t>
  </si>
  <si>
    <t>2. Add intermediaries on Intermediary Directory A4:J28 and deals on Deal Pipeline Log A4:L43 (yellow cells; dropdowns validate stage, process, tier and ID).</t>
  </si>
  <si>
    <t>3. Work the Follow-Up Cadence Tracker: every OVERDUE row is a call or email this week.</t>
  </si>
  <si>
    <t>4. Read Ranking Dashboard B44 for the one-line pipeline output and B19:F23 for the top 5 deals.</t>
  </si>
  <si>
    <t>Tabs</t>
  </si>
  <si>
    <t>#</t>
  </si>
  <si>
    <t>Tab</t>
  </si>
  <si>
    <t>What it does</t>
  </si>
  <si>
    <t>ReadMe - Validator Instructions</t>
  </si>
  <si>
    <t>Purpose, usage, validator checklist and formula reference</t>
  </si>
  <si>
    <t>Settings and Scoring Rules</t>
  </si>
  <si>
    <t>Weights, stage probabilities, process scores, tier cadences, thresholds</t>
  </si>
  <si>
    <t>Intermediary Directory</t>
  </si>
  <si>
    <t>Anonymized intermediary records plus live deal roll-ups</t>
  </si>
  <si>
    <t>Deal Pipeline Log</t>
  </si>
  <si>
    <t>Deal log with stage, next action, priority score, rank and follow-up flag</t>
  </si>
  <si>
    <t>Follow-Up Cadence Tracker</t>
  </si>
  <si>
    <t>Intermediary cadence and deal next-action follow-ups with overdue flags</t>
  </si>
  <si>
    <t>Ranking Dashboard</t>
  </si>
  <si>
    <t>KPIs, top 5 ranked deals, stage funnel, most overdue, dashboard output</t>
  </si>
  <si>
    <t>Anonymized Worked Example</t>
  </si>
  <si>
    <t>Sponsor X example: live snapshot, 4 named judgment calls, dashboard output</t>
  </si>
  <si>
    <t>Colour legend: yellow = input, blue = formula, green = key output. Tab 1 is 'ReadMe - Validator Instructions' because Excel does not allow '/' in tab names.</t>
  </si>
  <si>
    <t>Validator checklist (criterion -&gt; tab -&gt; cell range -&gt; live check)</t>
  </si>
  <si>
    <t>Criterion</t>
  </si>
  <si>
    <t>Cell range</t>
  </si>
  <si>
    <t>Live check</t>
  </si>
  <si>
    <t>Validator Read Me</t>
  </si>
  <si>
    <t>A1:E45</t>
  </si>
  <si>
    <t>Anonymized intermediary directory</t>
  </si>
  <si>
    <t>A4:M28</t>
  </si>
  <si>
    <t>Deal pipeline log with stage and next action</t>
  </si>
  <si>
    <t>A4:X43 (stage G, next action K/L)</t>
  </si>
  <si>
    <t>Follow-up cadence tracker with overdue flags</t>
  </si>
  <si>
    <t>A5:K29 and A33:H72</t>
  </si>
  <si>
    <t>Live priority score and rank</t>
  </si>
  <si>
    <t>R4:T43; weights Settings B11:C16</t>
  </si>
  <si>
    <t>Weights sum to 100%</t>
  </si>
  <si>
    <t>B16:C16</t>
  </si>
  <si>
    <t>Summary dashboard</t>
  </si>
  <si>
    <t>A3:F45; output B44</t>
  </si>
  <si>
    <t>Anonymized worked example</t>
  </si>
  <si>
    <t>A1:G31 (4 judgment calls A20:G23)</t>
  </si>
  <si>
    <t>Visible live formulas</t>
  </si>
  <si>
    <t>Formula reference A39:C43 (FORMULATEXT)</t>
  </si>
  <si>
    <t>Zero formula errors</t>
  </si>
  <si>
    <t>All tabs</t>
  </si>
  <si>
    <t>Excel SpecialCells(xlFormulas, xlErrors) scan</t>
  </si>
  <si>
    <t>See README.md (recalculated in Excel)</t>
  </si>
  <si>
    <t>Formula reference (live FORMULATEXT of key cells)</t>
  </si>
  <si>
    <t>Priority score (Deal Pipeline Log R4)</t>
  </si>
  <si>
    <t>Priority rank (Deal Pipeline Log T4)</t>
  </si>
  <si>
    <t>Follow-up flag (Deal Pipeline Log W4)</t>
  </si>
  <si>
    <t>Cadence flag (Follow-Up Cadence Tracker I5)</t>
  </si>
  <si>
    <t>Pipeline health (Ranking Dashboard B15)</t>
  </si>
  <si>
    <t>Yellow = input. Every weight, stage probability, cadence and threshold used by the model lives on this tab.</t>
  </si>
  <si>
    <t>Setting</t>
  </si>
  <si>
    <t>Value</t>
  </si>
  <si>
    <t>Unit</t>
  </si>
  <si>
    <t>Note</t>
  </si>
  <si>
    <t>As-of date</t>
  </si>
  <si>
    <t>date</t>
  </si>
  <si>
    <t>Fixed so the worked example is reproducible. For live use, replace with =TODAY().</t>
  </si>
  <si>
    <t>Target EBITDA band - minimum</t>
  </si>
  <si>
    <t>$M</t>
  </si>
  <si>
    <t>Fund's lower-middle-market sweet spot.</t>
  </si>
  <si>
    <t>Target EBITDA band - maximum</t>
  </si>
  <si>
    <t>Deals within 50% outside the band get half credit.</t>
  </si>
  <si>
    <t>Due-soon window</t>
  </si>
  <si>
    <t>days</t>
  </si>
  <si>
    <t>Follow-ups due within this many days are flagged DUE IN Nd.</t>
  </si>
  <si>
    <t>Stale deal threshold</t>
  </si>
  <si>
    <t>Active deal with no near-term action and no activity for this long is flagged STALE.</t>
  </si>
  <si>
    <t>Priority score component</t>
  </si>
  <si>
    <t>Weight</t>
  </si>
  <si>
    <t>Definition (component scaled 0-1, score = 100 x weighted sum)</t>
  </si>
  <si>
    <t>Stage probability</t>
  </si>
  <si>
    <t>Probability of close for the deal's stage (stage table below).</t>
  </si>
  <si>
    <t>Thesis fit</t>
  </si>
  <si>
    <t>Analyst fit score 1-5, scaled (fit - 1) / 4.</t>
  </si>
  <si>
    <t>EBITDA size fit</t>
  </si>
  <si>
    <t>1.0 inside the band; 0.5 within 50% outside the band; 0 otherwise.</t>
  </si>
  <si>
    <t>Process quality</t>
  </si>
  <si>
    <t>Process table below: proprietary deals score highest.</t>
  </si>
  <si>
    <t>Intermediary relationship</t>
  </si>
  <si>
    <t>Relationship strength 1-5 from the directory, scaled (strength - 1) / 4.</t>
  </si>
  <si>
    <t>Total</t>
  </si>
  <si>
    <t>Stage</t>
  </si>
  <si>
    <t>Order</t>
  </si>
  <si>
    <t>Probability of close</t>
  </si>
  <si>
    <t>Active (1/0)</t>
  </si>
  <si>
    <t>Sourced</t>
  </si>
  <si>
    <t>NDA / Teaser</t>
  </si>
  <si>
    <t>CIM Review</t>
  </si>
  <si>
    <t>IOI Submitted</t>
  </si>
  <si>
    <t>Management Meeting</t>
  </si>
  <si>
    <t>LOI Submitted</t>
  </si>
  <si>
    <t>Exclusivity / Diligence</t>
  </si>
  <si>
    <t>Closed</t>
  </si>
  <si>
    <t>Passed</t>
  </si>
  <si>
    <t>Lost</t>
  </si>
  <si>
    <t>Process type</t>
  </si>
  <si>
    <t>Process score (0-1)</t>
  </si>
  <si>
    <t>Why</t>
  </si>
  <si>
    <t>Proprietary</t>
  </si>
  <si>
    <t>No competing bidders; relationship-driven.</t>
  </si>
  <si>
    <t>Limited auction</t>
  </si>
  <si>
    <t>Handful of invited buyers.</t>
  </si>
  <si>
    <t>Broad auction</t>
  </si>
  <si>
    <t>Price-maximizing process; lowest win rate.</t>
  </si>
  <si>
    <t>Intermediary tier</t>
  </si>
  <si>
    <t>Touch cadence (days)</t>
  </si>
  <si>
    <t>Meaning</t>
  </si>
  <si>
    <t>A</t>
  </si>
  <si>
    <t>Active deal source; every two weeks.</t>
  </si>
  <si>
    <t>B</t>
  </si>
  <si>
    <t>Periodic source; monthly.</t>
  </si>
  <si>
    <t>C</t>
  </si>
  <si>
    <t>Occasional source; every two months.</t>
  </si>
  <si>
    <t>Anonymized bankers, brokers and other deal sources. Yellow = input (A-J); K-M are live roll-ups from the Deal Pipeline Log. Rows 4-28.</t>
  </si>
  <si>
    <t>ID</t>
  </si>
  <si>
    <t>Code name</t>
  </si>
  <si>
    <t>Type</t>
  </si>
  <si>
    <t>Firm code</t>
  </si>
  <si>
    <t>Region</t>
  </si>
  <si>
    <t>Sector focus</t>
  </si>
  <si>
    <t>Tier (A/B/C)</t>
  </si>
  <si>
    <t>Relationship strength (1-5)</t>
  </si>
  <si>
    <t>Last contact date</t>
  </si>
  <si>
    <t>Notes (anonymized)</t>
  </si>
  <si>
    <t>Deals sourced</t>
  </si>
  <si>
    <t>Active deals</t>
  </si>
  <si>
    <t>Best active priority score</t>
  </si>
  <si>
    <t>I01</t>
  </si>
  <si>
    <t>Banker A</t>
  </si>
  <si>
    <t>Investment bank (LMM)</t>
  </si>
  <si>
    <t>Firm 1</t>
  </si>
  <si>
    <t>Southeast</t>
  </si>
  <si>
    <t>Industrial services</t>
  </si>
  <si>
    <t>Runs limited auctions; sends early looks.</t>
  </si>
  <si>
    <t>I02</t>
  </si>
  <si>
    <t>Banker B</t>
  </si>
  <si>
    <t>Firm 2</t>
  </si>
  <si>
    <t>Midwest</t>
  </si>
  <si>
    <t>Business services</t>
  </si>
  <si>
    <t>Broad auctions; strong deal volume.</t>
  </si>
  <si>
    <t>I03</t>
  </si>
  <si>
    <t>Broker C</t>
  </si>
  <si>
    <t>Business broker</t>
  </si>
  <si>
    <t>Firm 3</t>
  </si>
  <si>
    <t>Texas</t>
  </si>
  <si>
    <t>Specialty distribution</t>
  </si>
  <si>
    <t>Owner-direct listings; light financials.</t>
  </si>
  <si>
    <t>I04</t>
  </si>
  <si>
    <t>Broker D</t>
  </si>
  <si>
    <t>Firm 4</t>
  </si>
  <si>
    <t>Home services</t>
  </si>
  <si>
    <t>Regional roll-up candidates.</t>
  </si>
  <si>
    <t>I05</t>
  </si>
  <si>
    <t>Advisor E</t>
  </si>
  <si>
    <t>M&amp;A advisory boutique</t>
  </si>
  <si>
    <t>Firm 5</t>
  </si>
  <si>
    <t>Northeast</t>
  </si>
  <si>
    <t>Healthcare services</t>
  </si>
  <si>
    <t>Larger deals; often above our band.</t>
  </si>
  <si>
    <t>I06</t>
  </si>
  <si>
    <t>CPA F</t>
  </si>
  <si>
    <t>Accounting firm</t>
  </si>
  <si>
    <t>Firm 6</t>
  </si>
  <si>
    <t>Owner-operator businesses</t>
  </si>
  <si>
    <t>Succession-planning clients.</t>
  </si>
  <si>
    <t>I07</t>
  </si>
  <si>
    <t>Attorney G</t>
  </si>
  <si>
    <t>Law firm (M&amp;A)</t>
  </si>
  <si>
    <t>Firm 7</t>
  </si>
  <si>
    <t>Estate and succession referrals.</t>
  </si>
  <si>
    <t>I08</t>
  </si>
  <si>
    <t>Operator H</t>
  </si>
  <si>
    <t>Former executive</t>
  </si>
  <si>
    <t>n/a</t>
  </si>
  <si>
    <t>Operating partner candidate; proprietary intros.</t>
  </si>
  <si>
    <t>I09</t>
  </si>
  <si>
    <t>Banker I</t>
  </si>
  <si>
    <t>Firm 8</t>
  </si>
  <si>
    <t>West</t>
  </si>
  <si>
    <t>Software-enabled services</t>
  </si>
  <si>
    <t>Relationship cooled after a passed deal.</t>
  </si>
  <si>
    <t>I10</t>
  </si>
  <si>
    <t>Founder J</t>
  </si>
  <si>
    <t>Founder network</t>
  </si>
  <si>
    <t>Peer founders considering exits.</t>
  </si>
  <si>
    <t>One row per opportunity. Yellow = input (A-L); blue = live formulas (M-X). Priority score, rank and follow-up flag recalculate from Settings. Rows 4-43.</t>
  </si>
  <si>
    <t>Deal ID</t>
  </si>
  <si>
    <t>Sector</t>
  </si>
  <si>
    <t>Intermediary ID</t>
  </si>
  <si>
    <t>Intermediary (lookup)</t>
  </si>
  <si>
    <t>LTM EBITDA ($M)</t>
  </si>
  <si>
    <t>Thesis fit (1-5)</t>
  </si>
  <si>
    <t>Last activity date</t>
  </si>
  <si>
    <t>Next action</t>
  </si>
  <si>
    <t>Next action due</t>
  </si>
  <si>
    <t>Process score</t>
  </si>
  <si>
    <t>Relationship strength</t>
  </si>
  <si>
    <t>Priority score (0-100)</t>
  </si>
  <si>
    <t>Rank key (tie-break)</t>
  </si>
  <si>
    <t>Priority rank (active)</t>
  </si>
  <si>
    <t>Days since last activity</t>
  </si>
  <si>
    <t>Days overdue</t>
  </si>
  <si>
    <t>Follow-up flag</t>
  </si>
  <si>
    <t>Prob.-weighted EBITDA ($M)</t>
  </si>
  <si>
    <t>D01</t>
  </si>
  <si>
    <t>Project Atlas</t>
  </si>
  <si>
    <t>Send diligence request list</t>
  </si>
  <si>
    <t>D02</t>
  </si>
  <si>
    <t>Project Birch</t>
  </si>
  <si>
    <t>Follow up on IOI feedback</t>
  </si>
  <si>
    <t>D03</t>
  </si>
  <si>
    <t>Project Cedar</t>
  </si>
  <si>
    <t>Call owner re: Q3 financials</t>
  </si>
  <si>
    <t>D04</t>
  </si>
  <si>
    <t>Project Delta</t>
  </si>
  <si>
    <t>Sign NDA and request CIM</t>
  </si>
  <si>
    <t>D05</t>
  </si>
  <si>
    <t>Project Ember</t>
  </si>
  <si>
    <t>Decide IOI go / no-go</t>
  </si>
  <si>
    <t>D06</t>
  </si>
  <si>
    <t>Project Falcon</t>
  </si>
  <si>
    <t>Negotiate LOI exclusivity terms</t>
  </si>
  <si>
    <t>D07</t>
  </si>
  <si>
    <t>Project Granite</t>
  </si>
  <si>
    <t>Schedule intro call with owner</t>
  </si>
  <si>
    <t>D08</t>
  </si>
  <si>
    <t>Project Harbor</t>
  </si>
  <si>
    <t>Passed - valuation gap</t>
  </si>
  <si>
    <t>D09</t>
  </si>
  <si>
    <t>Project Iris</t>
  </si>
  <si>
    <t>Request financial summary</t>
  </si>
  <si>
    <t>D10</t>
  </si>
  <si>
    <t>Project Juniper</t>
  </si>
  <si>
    <t>Prepare management meeting questions</t>
  </si>
  <si>
    <t>D11</t>
  </si>
  <si>
    <t>Project Kestrel</t>
  </si>
  <si>
    <t>Lost - outbid</t>
  </si>
  <si>
    <t>D12</t>
  </si>
  <si>
    <t>Project Larch</t>
  </si>
  <si>
    <t>Review teaser vs thesis</t>
  </si>
  <si>
    <t>Section A: intermediary touch cadence by tier. Section B: every deal's next action. All cells are live formulas.</t>
  </si>
  <si>
    <t>A. Intermediary touch cadence (one row per Intermediary Directory row)</t>
  </si>
  <si>
    <t>Tier</t>
  </si>
  <si>
    <t>Cadence (days)</t>
  </si>
  <si>
    <t>Last contact</t>
  </si>
  <si>
    <t>Next touch due</t>
  </si>
  <si>
    <t>Days until due</t>
  </si>
  <si>
    <t>Cadence flag</t>
  </si>
  <si>
    <t>Suggested action</t>
  </si>
  <si>
    <t>B. Deal next-action follow-ups (one row per Deal Pipeline Log row)</t>
  </si>
  <si>
    <t>Intermediary</t>
  </si>
  <si>
    <t>Live summary: pipeline KPIs, top-ranked active deals, stage funnel, most overdue follow-ups and one dashboard output line.</t>
  </si>
  <si>
    <t>Metric</t>
  </si>
  <si>
    <t>Source</t>
  </si>
  <si>
    <t>Settings B4</t>
  </si>
  <si>
    <t>Intermediaries tracked</t>
  </si>
  <si>
    <t>Intermediary Directory A4:A28</t>
  </si>
  <si>
    <t>Deals logged</t>
  </si>
  <si>
    <t>Deal Pipeline Log A4:A43</t>
  </si>
  <si>
    <t>Pipeline N</t>
  </si>
  <si>
    <t>Inactive deals (passed / lost / closed)</t>
  </si>
  <si>
    <t>Logged - active</t>
  </si>
  <si>
    <t>Active deals inside EBITDA band</t>
  </si>
  <si>
    <t>Pipeline N and O</t>
  </si>
  <si>
    <t>Probability-weighted active EBITDA ($M)</t>
  </si>
  <si>
    <t>Pipeline X</t>
  </si>
  <si>
    <t>Overdue deal next actions</t>
  </si>
  <si>
    <t>Pipeline W</t>
  </si>
  <si>
    <t>Overdue intermediary touches</t>
  </si>
  <si>
    <t>Tracker I5:I29</t>
  </si>
  <si>
    <t>Follow-ups due within window</t>
  </si>
  <si>
    <t>Pipeline W + Tracker I</t>
  </si>
  <si>
    <t>Stale active deals / missing next action</t>
  </si>
  <si>
    <t>Pipeline health</t>
  </si>
  <si>
    <t>B11 + B12 gates</t>
  </si>
  <si>
    <t>Top 5 active deals by priority score</t>
  </si>
  <si>
    <t>Rank</t>
  </si>
  <si>
    <t>Deal</t>
  </si>
  <si>
    <t>Priority score</t>
  </si>
  <si>
    <t>Stage funnel</t>
  </si>
  <si>
    <t>Deals (all)</t>
  </si>
  <si>
    <t>Active</t>
  </si>
  <si>
    <t>EBITDA ($M, all)</t>
  </si>
  <si>
    <t>Most overdue follow-ups</t>
  </si>
  <si>
    <t>Item</t>
  </si>
  <si>
    <t>Name</t>
  </si>
  <si>
    <t>Action</t>
  </si>
  <si>
    <t>Most overdue deal action</t>
  </si>
  <si>
    <t>Most overdue intermediary touch</t>
  </si>
  <si>
    <t>DASHBOARD OUTPUT</t>
  </si>
  <si>
    <t>Pipeline health formula (FORMULATEXT of B15)</t>
  </si>
  <si>
    <t>Anonymized Worked Example - Sponsor X lower-middle-market pipeline</t>
  </si>
  <si>
    <t>Code names, regions and scaled figures only. The dataset lives in the Intermediary Directory (rows 4-13) and Deal Pipeline Log (rows 4-15); this tab reads the live outputs.</t>
  </si>
  <si>
    <t>Scenario</t>
  </si>
  <si>
    <t>Sponsor X targets $3-15M EBITDA services and distribution businesses. It tracks 10 intermediaries and 12 opportunities. The question for the Monday pipeline meeting is: which deals deserve time this week, and which relationships are slipping?</t>
  </si>
  <si>
    <t>Live snapshot (links to Ranking Dashboard)</t>
  </si>
  <si>
    <t>Deals logged / active</t>
  </si>
  <si>
    <t>Rank 1</t>
  </si>
  <si>
    <t>Rank 2</t>
  </si>
  <si>
    <t>Rank 3</t>
  </si>
  <si>
    <t>Named judgment calls</t>
  </si>
  <si>
    <t>Judgment call</t>
  </si>
  <si>
    <t>Choice made</t>
  </si>
  <si>
    <t>Alternative rejected</t>
  </si>
  <si>
    <t>Live impact</t>
  </si>
  <si>
    <t>Impact unit</t>
  </si>
  <si>
    <t>Rationale</t>
  </si>
  <si>
    <t>JC1</t>
  </si>
  <si>
    <t>Project Ember is above the EBITDA band</t>
  </si>
  <si>
    <t>Keep it with half size credit (0.5)</t>
  </si>
  <si>
    <t>Exclude it (size fit 0)</t>
  </si>
  <si>
    <t>priority points kept</t>
  </si>
  <si>
    <t>At $18.0M it is within 50% of the $15M ceiling and comes from an A-tier advisor; keep it visible but ranked below in-band deals.</t>
  </si>
  <si>
    <t>JC2</t>
  </si>
  <si>
    <t>Project Birch thesis fit</t>
  </si>
  <si>
    <t>Fit 3 of 5</t>
  </si>
  <si>
    <t>Fit 4 of 5 (size and sector match)</t>
  </si>
  <si>
    <t>priority points withheld</t>
  </si>
  <si>
    <t>Broad auction with an ask above our underwriting view; sector match alone does not earn a 4.</t>
  </si>
  <si>
    <t>JC3</t>
  </si>
  <si>
    <t>Passed and lost deals stay in the log</t>
  </si>
  <si>
    <t>Keep for intermediary attribution, exclude from ranking</t>
  </si>
  <si>
    <t>Delete them</t>
  </si>
  <si>
    <t>deals excluded from ranking</t>
  </si>
  <si>
    <t>Deals-sourced counts show which intermediaries send relevant flow, even when we pass.</t>
  </si>
  <si>
    <t>JC4</t>
  </si>
  <si>
    <t>Fixed as-of date instead of TODAY()</t>
  </si>
  <si>
    <t>As-of 2026-10-04</t>
  </si>
  <si>
    <t>Live TODAY() date</t>
  </si>
  <si>
    <t>overdue items frozen</t>
  </si>
  <si>
    <t>A fixed date keeps the example reproducible for validators; live users switch Settings B4 to =TODAY().</t>
  </si>
  <si>
    <t>Dashboard output</t>
  </si>
  <si>
    <t>How to read this example</t>
  </si>
  <si>
    <t>1. Project Falcon ranks first: proprietary, in-band, at LOI, sourced by a strength-5 operator relationship.</t>
  </si>
  <si>
    <t>2. The two most overdue deal actions are early-stage proprietary deals (Granite 19d, Cedar 8d); the most lapsed relationships are Banker I (66d) and CPA F (21d). These are this week's calls.</t>
  </si>
  <si>
    <t>3. Change any yellow input (stage, due date, weight) and the rank, flags, dashboard and this tab all recalculate.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</si>
</sst>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00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color rgb="FF1F386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5" fillId="0" borderId="0" xfId="0" applyFont="1"/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164" fontId="0" fillId="4" borderId="1" xfId="0" applyNumberFormat="1" applyFill="1" applyBorder="1" applyAlignment="1">
      <alignment vertical="top" wrapText="1"/>
    </xf>
    <xf numFmtId="4" fontId="0" fillId="4" borderId="1" xfId="0" applyNumberFormat="1" applyFill="1" applyBorder="1" applyAlignment="1">
      <alignment vertical="top" wrapText="1"/>
    </xf>
    <xf numFmtId="1" fontId="0" fillId="4" borderId="1" xfId="0" applyNumberFormat="1" applyFill="1" applyBorder="1" applyAlignment="1">
      <alignment vertical="top" wrapText="1"/>
    </xf>
    <xf numFmtId="9" fontId="0" fillId="4" borderId="1" xfId="0" applyNumberFormat="1" applyFill="1" applyBorder="1" applyAlignment="1">
      <alignment vertical="top" wrapText="1"/>
    </xf>
    <xf numFmtId="9" fontId="4" fillId="5" borderId="1" xfId="0" applyNumberFormat="1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65" fontId="0" fillId="4" borderId="1" xfId="0" applyNumberForma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" fontId="0" fillId="5" borderId="1" xfId="0" applyNumberFormat="1" applyFill="1" applyBorder="1" applyAlignment="1">
      <alignment vertical="top" wrapText="1"/>
    </xf>
    <xf numFmtId="165" fontId="0" fillId="5" borderId="1" xfId="0" applyNumberFormat="1" applyFill="1" applyBorder="1" applyAlignment="1">
      <alignment vertical="top" wrapText="1"/>
    </xf>
    <xf numFmtId="9" fontId="0" fillId="5" borderId="1" xfId="0" applyNumberFormat="1" applyFill="1" applyBorder="1" applyAlignment="1">
      <alignment vertical="top" wrapText="1"/>
    </xf>
    <xf numFmtId="166" fontId="0" fillId="5" borderId="1" xfId="0" applyNumberFormat="1" applyFill="1" applyBorder="1" applyAlignment="1">
      <alignment vertical="top" wrapText="1"/>
    </xf>
    <xf numFmtId="4" fontId="0" fillId="5" borderId="1" xfId="0" applyNumberFormat="1" applyFill="1" applyBorder="1" applyAlignment="1">
      <alignment vertical="top" wrapText="1"/>
    </xf>
    <xf numFmtId="164" fontId="0" fillId="5" borderId="1" xfId="0" applyNumberForma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1" fontId="4" fillId="5" borderId="1" xfId="0" applyNumberFormat="1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4" fillId="6" borderId="1" xfId="0" applyFont="1" applyFill="1" applyBorder="1" applyAlignment="1">
      <alignment vertical="top" wrapText="1"/>
    </xf>
  </cellXfs>
  <cellStyles count="1">
    <cellStyle name="Normal" xfId="0" builtinId="0"/>
  </cellStyles>
  <dxfs count="7"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/>
  </sheetViews>
  <sheetFormatPr defaultRowHeight="14.5" x14ac:dyDescent="0.35"/>
  <cols>
    <col min="1" max="1" width="6" customWidth="1"/>
    <col min="2" max="2" width="44" customWidth="1"/>
    <col min="3" max="3" width="34" customWidth="1"/>
    <col min="4" max="4" width="40" customWidth="1"/>
    <col min="5" max="5" width="46" customWidth="1"/>
  </cols>
  <sheetData>
    <row r="1" spans="1:5" ht="18.5" x14ac:dyDescent="0.45">
      <c r="A1" s="1" t="s">
        <v>0</v>
      </c>
      <c r="B1" s="2"/>
      <c r="C1" s="2"/>
      <c r="D1" s="2"/>
      <c r="E1" s="2"/>
    </row>
    <row r="2" spans="1:5" x14ac:dyDescent="0.35">
      <c r="A2" s="3" t="s">
        <v>1</v>
      </c>
    </row>
    <row r="4" spans="1:5" ht="15.5" x14ac:dyDescent="0.35">
      <c r="A4" s="4" t="s">
        <v>2</v>
      </c>
    </row>
    <row r="5" spans="1:5" x14ac:dyDescent="0.35">
      <c r="A5" t="s">
        <v>3</v>
      </c>
    </row>
    <row r="7" spans="1:5" ht="15.5" x14ac:dyDescent="0.35">
      <c r="A7" s="4" t="s">
        <v>4</v>
      </c>
    </row>
    <row r="8" spans="1:5" x14ac:dyDescent="0.35">
      <c r="A8" t="s">
        <v>5</v>
      </c>
    </row>
    <row r="9" spans="1:5" x14ac:dyDescent="0.35">
      <c r="A9" t="s">
        <v>6</v>
      </c>
    </row>
    <row r="10" spans="1:5" x14ac:dyDescent="0.35">
      <c r="A10" t="s">
        <v>7</v>
      </c>
    </row>
    <row r="11" spans="1:5" x14ac:dyDescent="0.35">
      <c r="A11" t="s">
        <v>8</v>
      </c>
    </row>
    <row r="13" spans="1:5" ht="15.5" x14ac:dyDescent="0.35">
      <c r="A13" s="4" t="s">
        <v>9</v>
      </c>
    </row>
    <row r="14" spans="1:5" x14ac:dyDescent="0.35">
      <c r="A14" s="5" t="s">
        <v>10</v>
      </c>
      <c r="B14" s="5" t="s">
        <v>11</v>
      </c>
      <c r="C14" s="5" t="s">
        <v>12</v>
      </c>
    </row>
    <row r="15" spans="1:5" ht="29" x14ac:dyDescent="0.35">
      <c r="A15" s="6">
        <v>1</v>
      </c>
      <c r="B15" s="7" t="s">
        <v>13</v>
      </c>
      <c r="C15" s="6" t="s">
        <v>14</v>
      </c>
    </row>
    <row r="16" spans="1:5" ht="29" x14ac:dyDescent="0.35">
      <c r="A16" s="6">
        <v>2</v>
      </c>
      <c r="B16" s="7" t="s">
        <v>15</v>
      </c>
      <c r="C16" s="6" t="s">
        <v>16</v>
      </c>
    </row>
    <row r="17" spans="1:5" ht="29" x14ac:dyDescent="0.35">
      <c r="A17" s="6">
        <v>3</v>
      </c>
      <c r="B17" s="7" t="s">
        <v>17</v>
      </c>
      <c r="C17" s="6" t="s">
        <v>18</v>
      </c>
    </row>
    <row r="18" spans="1:5" ht="29" x14ac:dyDescent="0.35">
      <c r="A18" s="6">
        <v>4</v>
      </c>
      <c r="B18" s="7" t="s">
        <v>19</v>
      </c>
      <c r="C18" s="6" t="s">
        <v>20</v>
      </c>
    </row>
    <row r="19" spans="1:5" ht="29" x14ac:dyDescent="0.35">
      <c r="A19" s="6">
        <v>5</v>
      </c>
      <c r="B19" s="7" t="s">
        <v>21</v>
      </c>
      <c r="C19" s="6" t="s">
        <v>22</v>
      </c>
    </row>
    <row r="20" spans="1:5" ht="29" x14ac:dyDescent="0.35">
      <c r="A20" s="6">
        <v>6</v>
      </c>
      <c r="B20" s="7" t="s">
        <v>23</v>
      </c>
      <c r="C20" s="6" t="s">
        <v>24</v>
      </c>
    </row>
    <row r="21" spans="1:5" ht="43.5" x14ac:dyDescent="0.35">
      <c r="A21" s="6">
        <v>7</v>
      </c>
      <c r="B21" s="7" t="s">
        <v>25</v>
      </c>
      <c r="C21" s="6" t="s">
        <v>26</v>
      </c>
    </row>
    <row r="23" spans="1:5" x14ac:dyDescent="0.35">
      <c r="A23" t="s">
        <v>27</v>
      </c>
    </row>
    <row r="25" spans="1:5" ht="15.5" x14ac:dyDescent="0.35">
      <c r="A25" s="4" t="s">
        <v>28</v>
      </c>
    </row>
    <row r="26" spans="1:5" x14ac:dyDescent="0.35">
      <c r="A26" s="5" t="s">
        <v>10</v>
      </c>
      <c r="B26" s="5" t="s">
        <v>29</v>
      </c>
      <c r="C26" s="5" t="s">
        <v>11</v>
      </c>
      <c r="D26" s="5" t="s">
        <v>30</v>
      </c>
      <c r="E26" s="5" t="s">
        <v>31</v>
      </c>
    </row>
    <row r="27" spans="1:5" x14ac:dyDescent="0.35">
      <c r="A27" s="6">
        <v>1</v>
      </c>
      <c r="B27" s="7" t="s">
        <v>32</v>
      </c>
      <c r="C27" s="6" t="s">
        <v>13</v>
      </c>
      <c r="D27" s="6" t="s">
        <v>33</v>
      </c>
      <c r="E27" s="8" t="str">
        <f ca="1">"Tabs in workbook: "&amp;_xlfn.SHEETS()</f>
        <v>Tabs in workbook: 7</v>
      </c>
    </row>
    <row r="28" spans="1:5" x14ac:dyDescent="0.35">
      <c r="A28" s="6">
        <v>2</v>
      </c>
      <c r="B28" s="7" t="s">
        <v>34</v>
      </c>
      <c r="C28" s="6" t="s">
        <v>17</v>
      </c>
      <c r="D28" s="6" t="s">
        <v>35</v>
      </c>
      <c r="E28" s="8" t="str">
        <f>COUNTA('Intermediary Directory'!A4:A28)&amp;" intermediaries, code names only"</f>
        <v>10 intermediaries, code names only</v>
      </c>
    </row>
    <row r="29" spans="1:5" x14ac:dyDescent="0.35">
      <c r="A29" s="6">
        <v>3</v>
      </c>
      <c r="B29" s="7" t="s">
        <v>36</v>
      </c>
      <c r="C29" s="6" t="s">
        <v>19</v>
      </c>
      <c r="D29" s="6" t="s">
        <v>37</v>
      </c>
      <c r="E29" s="8" t="str">
        <f>COUNTA('Deal Pipeline Log'!$A$4:$A$43)&amp;" deals; "&amp;COUNTA('Deal Pipeline Log'!$K$4:$K$43)&amp;" with a next action"</f>
        <v>12 deals; 12 with a next action</v>
      </c>
    </row>
    <row r="30" spans="1:5" x14ac:dyDescent="0.35">
      <c r="A30" s="6">
        <v>4</v>
      </c>
      <c r="B30" s="7" t="s">
        <v>38</v>
      </c>
      <c r="C30" s="6" t="s">
        <v>21</v>
      </c>
      <c r="D30" s="6" t="s">
        <v>39</v>
      </c>
      <c r="E30" s="8" t="str">
        <f>'Ranking Dashboard'!B12&amp;" intermediary + "&amp;'Ranking Dashboard'!B11&amp;" deal follow-ups overdue"</f>
        <v>4 intermediary + 4 deal follow-ups overdue</v>
      </c>
    </row>
    <row r="31" spans="1:5" x14ac:dyDescent="0.35">
      <c r="A31" s="6">
        <v>5</v>
      </c>
      <c r="B31" s="7" t="s">
        <v>40</v>
      </c>
      <c r="C31" s="6" t="s">
        <v>19</v>
      </c>
      <c r="D31" s="6" t="s">
        <v>41</v>
      </c>
      <c r="E31" s="8" t="str">
        <f>"Rank 1: "&amp;'Ranking Dashboard'!B19&amp;" ("&amp;TEXT('Ranking Dashboard'!C19,"0.0")&amp;")"</f>
        <v>Rank 1: Project Falcon (91.0)</v>
      </c>
    </row>
    <row r="32" spans="1:5" x14ac:dyDescent="0.35">
      <c r="A32" s="6">
        <v>6</v>
      </c>
      <c r="B32" s="7" t="s">
        <v>42</v>
      </c>
      <c r="C32" s="6" t="s">
        <v>15</v>
      </c>
      <c r="D32" s="6" t="s">
        <v>43</v>
      </c>
      <c r="E32" s="8" t="str">
        <f>'Settings and Scoring Rules'!C16</f>
        <v>OK - weights sum to 100%</v>
      </c>
    </row>
    <row r="33" spans="1:5" ht="29" x14ac:dyDescent="0.35">
      <c r="A33" s="6">
        <v>7</v>
      </c>
      <c r="B33" s="7" t="s">
        <v>44</v>
      </c>
      <c r="C33" s="6" t="s">
        <v>23</v>
      </c>
      <c r="D33" s="6" t="s">
        <v>45</v>
      </c>
      <c r="E33" s="8" t="str">
        <f>'Ranking Dashboard'!B15</f>
        <v>AT RISK - 8 overdue follow-ups; clear backlog before new outreach</v>
      </c>
    </row>
    <row r="34" spans="1:5" x14ac:dyDescent="0.35">
      <c r="A34" s="6">
        <v>8</v>
      </c>
      <c r="B34" s="7" t="s">
        <v>46</v>
      </c>
      <c r="C34" s="6" t="s">
        <v>25</v>
      </c>
      <c r="D34" s="6" t="s">
        <v>47</v>
      </c>
      <c r="E34" s="8" t="str">
        <f>COUNTA('Anonymized Worked Example'!A20:A23)&amp;" judgment calls"</f>
        <v>4 judgment calls</v>
      </c>
    </row>
    <row r="35" spans="1:5" x14ac:dyDescent="0.35">
      <c r="A35" s="6">
        <v>9</v>
      </c>
      <c r="B35" s="7" t="s">
        <v>48</v>
      </c>
      <c r="C35" s="6" t="s">
        <v>13</v>
      </c>
      <c r="D35" s="6" t="s">
        <v>49</v>
      </c>
      <c r="E35" s="8" t="str">
        <f ca="1">COUNTA(C39:C43)&amp;" key formulas shown as live FORMULATEXT"</f>
        <v>5 key formulas shown as live FORMULATEXT</v>
      </c>
    </row>
    <row r="36" spans="1:5" x14ac:dyDescent="0.35">
      <c r="A36" s="6">
        <v>10</v>
      </c>
      <c r="B36" s="7" t="s">
        <v>50</v>
      </c>
      <c r="C36" s="6" t="s">
        <v>51</v>
      </c>
      <c r="D36" s="6" t="s">
        <v>52</v>
      </c>
      <c r="E36" s="6" t="s">
        <v>53</v>
      </c>
    </row>
    <row r="38" spans="1:5" ht="15.5" x14ac:dyDescent="0.35">
      <c r="A38" s="4" t="s">
        <v>54</v>
      </c>
    </row>
    <row r="39" spans="1:5" ht="60" customHeight="1" x14ac:dyDescent="0.35">
      <c r="A39" s="6">
        <v>1</v>
      </c>
      <c r="B39" s="7" t="s">
        <v>55</v>
      </c>
      <c r="C39" s="29" t="str">
        <f ca="1">_xlfn.FORMULATEXT('Deal Pipeline Log'!R4)</f>
        <v>=IF($A4="","",ROUND(100*('Settings and Scoring Rules'!$B$11*M4+'Settings and Scoring Rules'!$B$12*($I4-1)/4+'Settings and Scoring Rules'!$B$13*O4+'Settings and Scoring Rules'!$B$14*P4+'Settings and Scoring Rules'!$B$15*(Q4-1)/4),1))</v>
      </c>
      <c r="D39" s="30"/>
      <c r="E39" s="31"/>
    </row>
    <row r="40" spans="1:5" ht="60" customHeight="1" x14ac:dyDescent="0.35">
      <c r="A40" s="6">
        <v>2</v>
      </c>
      <c r="B40" s="7" t="s">
        <v>56</v>
      </c>
      <c r="C40" s="29" t="str">
        <f ca="1">_xlfn.FORMULATEXT('Deal Pipeline Log'!T4)</f>
        <v>=IF(S4="","",COUNTIF($S$4:$S$43,"&gt;"&amp;S4)+1)</v>
      </c>
      <c r="D40" s="30"/>
      <c r="E40" s="31"/>
    </row>
    <row r="41" spans="1:5" ht="60" customHeight="1" x14ac:dyDescent="0.35">
      <c r="A41" s="6">
        <v>3</v>
      </c>
      <c r="B41" s="7" t="s">
        <v>57</v>
      </c>
      <c r="C41" s="29" t="str">
        <f ca="1">_xlfn.FORMULATEXT('Deal Pipeline Log'!W4)</f>
        <v>=IF($A4="","",IF(N4&lt;&gt;1,"Inactive - "&amp;$G4,IF($L4="","NO NEXT ACTION",IF(V4&gt;0,"OVERDUE "&amp;V4&amp;"d",IF($L4-'Settings and Scoring Rules'!$B$4&lt;='Settings and Scoring Rules'!$B$7,"DUE IN "&amp;($L4-'Settings and Scoring Rules'!$B$4)&amp;"d",IF(N(U4)&gt;'Settings and Scoring Rules'!$B$8,"STALE","On track"))))))</v>
      </c>
      <c r="D41" s="30"/>
      <c r="E41" s="31"/>
    </row>
    <row r="42" spans="1:5" ht="60" customHeight="1" x14ac:dyDescent="0.35">
      <c r="A42" s="6">
        <v>4</v>
      </c>
      <c r="B42" s="7" t="s">
        <v>58</v>
      </c>
      <c r="C42" s="29" t="str">
        <f ca="1">_xlfn.FORMULATEXT('Follow-Up Cadence Tracker'!I5)</f>
        <v>=IF(A5="","",IF(H5&gt;0,"OVERDUE "&amp;H5&amp;"d",IF(G5&lt;='Settings and Scoring Rules'!$B$7,"DUE IN "&amp;G5&amp;"d","On track")))</v>
      </c>
      <c r="D42" s="30"/>
      <c r="E42" s="31"/>
    </row>
    <row r="43" spans="1:5" ht="60" customHeight="1" x14ac:dyDescent="0.35">
      <c r="A43" s="6">
        <v>5</v>
      </c>
      <c r="B43" s="7" t="s">
        <v>59</v>
      </c>
      <c r="C43" s="29" t="str">
        <f ca="1">_xlfn.FORMULATEXT('Ranking Dashboard'!B15)</f>
        <v>=IF(B11+B12=0,"HEALTHY - no overdue follow-ups",IF(B11+B12&lt;=3,"ATTENTION - clear overdue follow-ups this week","AT RISK - "&amp;(B11+B12)&amp;" overdue follow-ups; clear backlog before new outreach"))</v>
      </c>
      <c r="D43" s="30"/>
      <c r="E43" s="31"/>
    </row>
  </sheetData>
  <mergeCells count="5">
    <mergeCell ref="C42:E42"/>
    <mergeCell ref="C41:E41"/>
    <mergeCell ref="C39:E39"/>
    <mergeCell ref="C40:E40"/>
    <mergeCell ref="C43:E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workbookViewId="0"/>
  </sheetViews>
  <sheetFormatPr defaultRowHeight="14.5" x14ac:dyDescent="0.35"/>
  <cols>
    <col min="1" max="1" width="34" customWidth="1"/>
    <col min="2" max="2" width="20" customWidth="1"/>
    <col min="3" max="3" width="34" customWidth="1"/>
    <col min="4" max="4" width="80" customWidth="1"/>
  </cols>
  <sheetData>
    <row r="1" spans="1:4" ht="18.5" x14ac:dyDescent="0.45">
      <c r="A1" s="1" t="s">
        <v>15</v>
      </c>
      <c r="B1" s="2"/>
      <c r="C1" s="2"/>
      <c r="D1" s="2"/>
    </row>
    <row r="2" spans="1:4" x14ac:dyDescent="0.35">
      <c r="A2" s="3" t="s">
        <v>60</v>
      </c>
    </row>
    <row r="3" spans="1:4" x14ac:dyDescent="0.35">
      <c r="A3" s="5" t="s">
        <v>61</v>
      </c>
      <c r="B3" s="5" t="s">
        <v>62</v>
      </c>
      <c r="C3" s="5" t="s">
        <v>63</v>
      </c>
      <c r="D3" s="5" t="s">
        <v>64</v>
      </c>
    </row>
    <row r="4" spans="1:4" x14ac:dyDescent="0.35">
      <c r="A4" s="7" t="s">
        <v>65</v>
      </c>
      <c r="B4" s="9">
        <v>46299</v>
      </c>
      <c r="C4" s="6" t="s">
        <v>66</v>
      </c>
      <c r="D4" s="6" t="s">
        <v>67</v>
      </c>
    </row>
    <row r="5" spans="1:4" x14ac:dyDescent="0.35">
      <c r="A5" s="7" t="s">
        <v>68</v>
      </c>
      <c r="B5" s="10">
        <v>3</v>
      </c>
      <c r="C5" s="6" t="s">
        <v>69</v>
      </c>
      <c r="D5" s="6" t="s">
        <v>70</v>
      </c>
    </row>
    <row r="6" spans="1:4" x14ac:dyDescent="0.35">
      <c r="A6" s="7" t="s">
        <v>71</v>
      </c>
      <c r="B6" s="10">
        <v>15</v>
      </c>
      <c r="C6" s="6" t="s">
        <v>69</v>
      </c>
      <c r="D6" s="6" t="s">
        <v>72</v>
      </c>
    </row>
    <row r="7" spans="1:4" x14ac:dyDescent="0.35">
      <c r="A7" s="7" t="s">
        <v>73</v>
      </c>
      <c r="B7" s="11">
        <v>7</v>
      </c>
      <c r="C7" s="6" t="s">
        <v>74</v>
      </c>
      <c r="D7" s="6" t="s">
        <v>75</v>
      </c>
    </row>
    <row r="8" spans="1:4" x14ac:dyDescent="0.35">
      <c r="A8" s="7" t="s">
        <v>76</v>
      </c>
      <c r="B8" s="11">
        <v>21</v>
      </c>
      <c r="C8" s="6" t="s">
        <v>74</v>
      </c>
      <c r="D8" s="6" t="s">
        <v>77</v>
      </c>
    </row>
    <row r="10" spans="1:4" x14ac:dyDescent="0.35">
      <c r="A10" s="5" t="s">
        <v>78</v>
      </c>
      <c r="B10" s="5" t="s">
        <v>79</v>
      </c>
      <c r="C10" s="5"/>
      <c r="D10" s="5" t="s">
        <v>80</v>
      </c>
    </row>
    <row r="11" spans="1:4" x14ac:dyDescent="0.35">
      <c r="A11" s="7" t="s">
        <v>81</v>
      </c>
      <c r="B11" s="12">
        <v>0.3</v>
      </c>
      <c r="D11" s="6" t="s">
        <v>82</v>
      </c>
    </row>
    <row r="12" spans="1:4" x14ac:dyDescent="0.35">
      <c r="A12" s="7" t="s">
        <v>83</v>
      </c>
      <c r="B12" s="12">
        <v>0.3</v>
      </c>
      <c r="D12" s="6" t="s">
        <v>84</v>
      </c>
    </row>
    <row r="13" spans="1:4" x14ac:dyDescent="0.35">
      <c r="A13" s="7" t="s">
        <v>85</v>
      </c>
      <c r="B13" s="12">
        <v>0.15</v>
      </c>
      <c r="D13" s="6" t="s">
        <v>86</v>
      </c>
    </row>
    <row r="14" spans="1:4" x14ac:dyDescent="0.35">
      <c r="A14" s="7" t="s">
        <v>87</v>
      </c>
      <c r="B14" s="12">
        <v>0.15</v>
      </c>
      <c r="D14" s="6" t="s">
        <v>88</v>
      </c>
    </row>
    <row r="15" spans="1:4" x14ac:dyDescent="0.35">
      <c r="A15" s="7" t="s">
        <v>89</v>
      </c>
      <c r="B15" s="12">
        <v>0.1</v>
      </c>
      <c r="D15" s="6" t="s">
        <v>90</v>
      </c>
    </row>
    <row r="16" spans="1:4" x14ac:dyDescent="0.35">
      <c r="A16" s="7" t="s">
        <v>91</v>
      </c>
      <c r="B16" s="13">
        <f>SUM(B11:B15)</f>
        <v>1</v>
      </c>
      <c r="C16" s="14" t="str">
        <f>IF(ROUND(B16,6)=1,"OK - weights sum to 100%","ERROR - weights must sum to 100%")</f>
        <v>OK - weights sum to 100%</v>
      </c>
    </row>
    <row r="18" spans="1:4" x14ac:dyDescent="0.35">
      <c r="A18" s="5" t="s">
        <v>92</v>
      </c>
      <c r="B18" s="5" t="s">
        <v>93</v>
      </c>
      <c r="C18" s="5" t="s">
        <v>94</v>
      </c>
      <c r="D18" s="5" t="s">
        <v>95</v>
      </c>
    </row>
    <row r="19" spans="1:4" x14ac:dyDescent="0.35">
      <c r="A19" s="15" t="s">
        <v>96</v>
      </c>
      <c r="B19" s="6">
        <v>1</v>
      </c>
      <c r="C19" s="12">
        <v>0.05</v>
      </c>
      <c r="D19" s="11">
        <v>1</v>
      </c>
    </row>
    <row r="20" spans="1:4" x14ac:dyDescent="0.35">
      <c r="A20" s="15" t="s">
        <v>97</v>
      </c>
      <c r="B20" s="6">
        <v>2</v>
      </c>
      <c r="C20" s="12">
        <v>0.1</v>
      </c>
      <c r="D20" s="11">
        <v>1</v>
      </c>
    </row>
    <row r="21" spans="1:4" x14ac:dyDescent="0.35">
      <c r="A21" s="15" t="s">
        <v>98</v>
      </c>
      <c r="B21" s="6">
        <v>3</v>
      </c>
      <c r="C21" s="12">
        <v>0.2</v>
      </c>
      <c r="D21" s="11">
        <v>1</v>
      </c>
    </row>
    <row r="22" spans="1:4" x14ac:dyDescent="0.35">
      <c r="A22" s="15" t="s">
        <v>99</v>
      </c>
      <c r="B22" s="6">
        <v>4</v>
      </c>
      <c r="C22" s="12">
        <v>0.35</v>
      </c>
      <c r="D22" s="11">
        <v>1</v>
      </c>
    </row>
    <row r="23" spans="1:4" x14ac:dyDescent="0.35">
      <c r="A23" s="15" t="s">
        <v>100</v>
      </c>
      <c r="B23" s="6">
        <v>5</v>
      </c>
      <c r="C23" s="12">
        <v>0.5</v>
      </c>
      <c r="D23" s="11">
        <v>1</v>
      </c>
    </row>
    <row r="24" spans="1:4" x14ac:dyDescent="0.35">
      <c r="A24" s="15" t="s">
        <v>101</v>
      </c>
      <c r="B24" s="6">
        <v>6</v>
      </c>
      <c r="C24" s="12">
        <v>0.7</v>
      </c>
      <c r="D24" s="11">
        <v>1</v>
      </c>
    </row>
    <row r="25" spans="1:4" x14ac:dyDescent="0.35">
      <c r="A25" s="15" t="s">
        <v>102</v>
      </c>
      <c r="B25" s="6">
        <v>7</v>
      </c>
      <c r="C25" s="12">
        <v>0.85</v>
      </c>
      <c r="D25" s="11">
        <v>1</v>
      </c>
    </row>
    <row r="26" spans="1:4" x14ac:dyDescent="0.35">
      <c r="A26" s="15" t="s">
        <v>103</v>
      </c>
      <c r="B26" s="6">
        <v>8</v>
      </c>
      <c r="C26" s="12">
        <v>1</v>
      </c>
      <c r="D26" s="11">
        <v>0</v>
      </c>
    </row>
    <row r="27" spans="1:4" x14ac:dyDescent="0.35">
      <c r="A27" s="15" t="s">
        <v>104</v>
      </c>
      <c r="B27" s="6">
        <v>9</v>
      </c>
      <c r="C27" s="12">
        <v>0</v>
      </c>
      <c r="D27" s="11">
        <v>0</v>
      </c>
    </row>
    <row r="28" spans="1:4" x14ac:dyDescent="0.35">
      <c r="A28" s="15" t="s">
        <v>105</v>
      </c>
      <c r="B28" s="6">
        <v>10</v>
      </c>
      <c r="C28" s="12">
        <v>0</v>
      </c>
      <c r="D28" s="11">
        <v>0</v>
      </c>
    </row>
    <row r="30" spans="1:4" x14ac:dyDescent="0.35">
      <c r="A30" s="5" t="s">
        <v>106</v>
      </c>
      <c r="B30" s="5" t="s">
        <v>107</v>
      </c>
      <c r="C30" s="5"/>
      <c r="D30" s="5" t="s">
        <v>108</v>
      </c>
    </row>
    <row r="31" spans="1:4" x14ac:dyDescent="0.35">
      <c r="A31" s="15" t="s">
        <v>109</v>
      </c>
      <c r="B31" s="16">
        <v>1</v>
      </c>
      <c r="D31" s="6" t="s">
        <v>110</v>
      </c>
    </row>
    <row r="32" spans="1:4" x14ac:dyDescent="0.35">
      <c r="A32" s="15" t="s">
        <v>111</v>
      </c>
      <c r="B32" s="16">
        <v>0.6</v>
      </c>
      <c r="D32" s="6" t="s">
        <v>112</v>
      </c>
    </row>
    <row r="33" spans="1:4" x14ac:dyDescent="0.35">
      <c r="A33" s="15" t="s">
        <v>113</v>
      </c>
      <c r="B33" s="16">
        <v>0.2</v>
      </c>
      <c r="D33" s="6" t="s">
        <v>114</v>
      </c>
    </row>
    <row r="35" spans="1:4" x14ac:dyDescent="0.35">
      <c r="A35" s="5" t="s">
        <v>115</v>
      </c>
      <c r="B35" s="5" t="s">
        <v>116</v>
      </c>
      <c r="C35" s="5"/>
      <c r="D35" s="5" t="s">
        <v>117</v>
      </c>
    </row>
    <row r="36" spans="1:4" x14ac:dyDescent="0.35">
      <c r="A36" s="15" t="s">
        <v>118</v>
      </c>
      <c r="B36" s="11">
        <v>14</v>
      </c>
      <c r="D36" s="6" t="s">
        <v>119</v>
      </c>
    </row>
    <row r="37" spans="1:4" x14ac:dyDescent="0.35">
      <c r="A37" s="15" t="s">
        <v>120</v>
      </c>
      <c r="B37" s="11">
        <v>30</v>
      </c>
      <c r="D37" s="6" t="s">
        <v>121</v>
      </c>
    </row>
    <row r="38" spans="1:4" x14ac:dyDescent="0.35">
      <c r="A38" s="15" t="s">
        <v>122</v>
      </c>
      <c r="B38" s="11">
        <v>60</v>
      </c>
      <c r="D38" s="6" t="s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7" customWidth="1"/>
    <col min="2" max="2" width="14" customWidth="1"/>
    <col min="3" max="3" width="24" customWidth="1"/>
    <col min="4" max="4" width="10" customWidth="1"/>
    <col min="5" max="5" width="12" customWidth="1"/>
    <col min="6" max="6" width="26" customWidth="1"/>
    <col min="7" max="7" width="9" customWidth="1"/>
    <col min="8" max="9" width="13" customWidth="1"/>
    <col min="10" max="10" width="44" customWidth="1"/>
    <col min="11" max="12" width="10" customWidth="1"/>
    <col min="13" max="13" width="13" customWidth="1"/>
  </cols>
  <sheetData>
    <row r="1" spans="1:13" ht="18.5" x14ac:dyDescent="0.45">
      <c r="A1" s="1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s="3" t="s">
        <v>124</v>
      </c>
    </row>
    <row r="3" spans="1:13" ht="29" x14ac:dyDescent="0.35">
      <c r="A3" s="5" t="s">
        <v>125</v>
      </c>
      <c r="B3" s="5" t="s">
        <v>126</v>
      </c>
      <c r="C3" s="5" t="s">
        <v>127</v>
      </c>
      <c r="D3" s="5" t="s">
        <v>128</v>
      </c>
      <c r="E3" s="5" t="s">
        <v>129</v>
      </c>
      <c r="F3" s="5" t="s">
        <v>130</v>
      </c>
      <c r="G3" s="5" t="s">
        <v>131</v>
      </c>
      <c r="H3" s="5" t="s">
        <v>132</v>
      </c>
      <c r="I3" s="5" t="s">
        <v>133</v>
      </c>
      <c r="J3" s="5" t="s">
        <v>134</v>
      </c>
      <c r="K3" s="5" t="s">
        <v>135</v>
      </c>
      <c r="L3" s="5" t="s">
        <v>136</v>
      </c>
      <c r="M3" s="5" t="s">
        <v>137</v>
      </c>
    </row>
    <row r="4" spans="1:13" x14ac:dyDescent="0.35">
      <c r="A4" s="17" t="s">
        <v>138</v>
      </c>
      <c r="B4" s="17" t="s">
        <v>139</v>
      </c>
      <c r="C4" s="17" t="s">
        <v>140</v>
      </c>
      <c r="D4" s="17" t="s">
        <v>141</v>
      </c>
      <c r="E4" s="17" t="s">
        <v>142</v>
      </c>
      <c r="F4" s="17" t="s">
        <v>143</v>
      </c>
      <c r="G4" s="17" t="s">
        <v>118</v>
      </c>
      <c r="H4" s="11">
        <v>5</v>
      </c>
      <c r="I4" s="9">
        <v>46293</v>
      </c>
      <c r="J4" s="17" t="s">
        <v>144</v>
      </c>
      <c r="K4" s="18">
        <f>IF($A4="","",COUNTIF('Deal Pipeline Log'!$D$4:$D$43,$A4))</f>
        <v>1</v>
      </c>
      <c r="L4" s="18">
        <f>IF($A4="","",COUNTIFS('Deal Pipeline Log'!$D$4:$D$43,$A4,'Deal Pipeline Log'!$N$4:$N$43,1))</f>
        <v>1</v>
      </c>
      <c r="M4" s="19">
        <f>IF($A4="","",IF(L4=0,0,_xlfn.MAXIFS('Deal Pipeline Log'!$R$4:$R$43,'Deal Pipeline Log'!$D$4:$D$43,$A4,'Deal Pipeline Log'!$N$4:$N$43,1)))</f>
        <v>79</v>
      </c>
    </row>
    <row r="5" spans="1:13" x14ac:dyDescent="0.35">
      <c r="A5" s="17" t="s">
        <v>145</v>
      </c>
      <c r="B5" s="17" t="s">
        <v>146</v>
      </c>
      <c r="C5" s="17" t="s">
        <v>140</v>
      </c>
      <c r="D5" s="17" t="s">
        <v>147</v>
      </c>
      <c r="E5" s="17" t="s">
        <v>148</v>
      </c>
      <c r="F5" s="17" t="s">
        <v>149</v>
      </c>
      <c r="G5" s="17" t="s">
        <v>118</v>
      </c>
      <c r="H5" s="11">
        <v>4</v>
      </c>
      <c r="I5" s="9">
        <v>46275</v>
      </c>
      <c r="J5" s="17" t="s">
        <v>150</v>
      </c>
      <c r="K5" s="18">
        <f>IF($A5="","",COUNTIF('Deal Pipeline Log'!$D$4:$D$43,$A5))</f>
        <v>1</v>
      </c>
      <c r="L5" s="18">
        <f>IF($A5="","",COUNTIFS('Deal Pipeline Log'!$D$4:$D$43,$A5,'Deal Pipeline Log'!$N$4:$N$43,1))</f>
        <v>1</v>
      </c>
      <c r="M5" s="19">
        <f>IF($A5="","",IF(L5=0,0,_xlfn.MAXIFS('Deal Pipeline Log'!$R$4:$R$43,'Deal Pipeline Log'!$D$4:$D$43,$A5,'Deal Pipeline Log'!$N$4:$N$43,1)))</f>
        <v>51</v>
      </c>
    </row>
    <row r="6" spans="1:13" x14ac:dyDescent="0.35">
      <c r="A6" s="17" t="s">
        <v>151</v>
      </c>
      <c r="B6" s="17" t="s">
        <v>152</v>
      </c>
      <c r="C6" s="17" t="s">
        <v>153</v>
      </c>
      <c r="D6" s="17" t="s">
        <v>154</v>
      </c>
      <c r="E6" s="17" t="s">
        <v>155</v>
      </c>
      <c r="F6" s="17" t="s">
        <v>156</v>
      </c>
      <c r="G6" s="17" t="s">
        <v>120</v>
      </c>
      <c r="H6" s="11">
        <v>3</v>
      </c>
      <c r="I6" s="9">
        <v>46254</v>
      </c>
      <c r="J6" s="17" t="s">
        <v>157</v>
      </c>
      <c r="K6" s="18">
        <f>IF($A6="","",COUNTIF('Deal Pipeline Log'!$D$4:$D$43,$A6))</f>
        <v>2</v>
      </c>
      <c r="L6" s="18">
        <f>IF($A6="","",COUNTIFS('Deal Pipeline Log'!$D$4:$D$43,$A6,'Deal Pipeline Log'!$N$4:$N$43,1))</f>
        <v>2</v>
      </c>
      <c r="M6" s="19">
        <f>IF($A6="","",IF(L6=0,0,_xlfn.MAXIFS('Deal Pipeline Log'!$R$4:$R$43,'Deal Pipeline Log'!$D$4:$D$43,$A6,'Deal Pipeline Log'!$N$4:$N$43,1)))</f>
        <v>63.5</v>
      </c>
    </row>
    <row r="7" spans="1:13" x14ac:dyDescent="0.35">
      <c r="A7" s="17" t="s">
        <v>158</v>
      </c>
      <c r="B7" s="17" t="s">
        <v>159</v>
      </c>
      <c r="C7" s="17" t="s">
        <v>153</v>
      </c>
      <c r="D7" s="17" t="s">
        <v>160</v>
      </c>
      <c r="E7" s="17" t="s">
        <v>142</v>
      </c>
      <c r="F7" s="17" t="s">
        <v>161</v>
      </c>
      <c r="G7" s="17" t="s">
        <v>120</v>
      </c>
      <c r="H7" s="11">
        <v>4</v>
      </c>
      <c r="I7" s="9">
        <v>46287</v>
      </c>
      <c r="J7" s="17" t="s">
        <v>162</v>
      </c>
      <c r="K7" s="18">
        <f>IF($A7="","",COUNTIF('Deal Pipeline Log'!$D$4:$D$43,$A7))</f>
        <v>2</v>
      </c>
      <c r="L7" s="18">
        <f>IF($A7="","",COUNTIFS('Deal Pipeline Log'!$D$4:$D$43,$A7,'Deal Pipeline Log'!$N$4:$N$43,1))</f>
        <v>1</v>
      </c>
      <c r="M7" s="19">
        <f>IF($A7="","",IF(L7=0,0,_xlfn.MAXIFS('Deal Pipeline Log'!$R$4:$R$43,'Deal Pipeline Log'!$D$4:$D$43,$A7,'Deal Pipeline Log'!$N$4:$N$43,1)))</f>
        <v>57</v>
      </c>
    </row>
    <row r="8" spans="1:13" x14ac:dyDescent="0.35">
      <c r="A8" s="17" t="s">
        <v>163</v>
      </c>
      <c r="B8" s="17" t="s">
        <v>164</v>
      </c>
      <c r="C8" s="17" t="s">
        <v>165</v>
      </c>
      <c r="D8" s="17" t="s">
        <v>166</v>
      </c>
      <c r="E8" s="17" t="s">
        <v>167</v>
      </c>
      <c r="F8" s="17" t="s">
        <v>168</v>
      </c>
      <c r="G8" s="17" t="s">
        <v>118</v>
      </c>
      <c r="H8" s="11">
        <v>3</v>
      </c>
      <c r="I8" s="9">
        <v>46288</v>
      </c>
      <c r="J8" s="17" t="s">
        <v>169</v>
      </c>
      <c r="K8" s="18">
        <f>IF($A8="","",COUNTIF('Deal Pipeline Log'!$D$4:$D$43,$A8))</f>
        <v>1</v>
      </c>
      <c r="L8" s="18">
        <f>IF($A8="","",COUNTIFS('Deal Pipeline Log'!$D$4:$D$43,$A8,'Deal Pipeline Log'!$N$4:$N$43,1))</f>
        <v>1</v>
      </c>
      <c r="M8" s="19">
        <f>IF($A8="","",IF(L8=0,0,_xlfn.MAXIFS('Deal Pipeline Log'!$R$4:$R$43,'Deal Pipeline Log'!$D$4:$D$43,$A8,'Deal Pipeline Log'!$N$4:$N$43,1)))</f>
        <v>36.5</v>
      </c>
    </row>
    <row r="9" spans="1:13" x14ac:dyDescent="0.35">
      <c r="A9" s="17" t="s">
        <v>170</v>
      </c>
      <c r="B9" s="17" t="s">
        <v>171</v>
      </c>
      <c r="C9" s="17" t="s">
        <v>172</v>
      </c>
      <c r="D9" s="17" t="s">
        <v>173</v>
      </c>
      <c r="E9" s="17" t="s">
        <v>148</v>
      </c>
      <c r="F9" s="17" t="s">
        <v>174</v>
      </c>
      <c r="G9" s="17" t="s">
        <v>122</v>
      </c>
      <c r="H9" s="11">
        <v>4</v>
      </c>
      <c r="I9" s="9">
        <v>46218</v>
      </c>
      <c r="J9" s="17" t="s">
        <v>175</v>
      </c>
      <c r="K9" s="18">
        <f>IF($A9="","",COUNTIF('Deal Pipeline Log'!$D$4:$D$43,$A9))</f>
        <v>1</v>
      </c>
      <c r="L9" s="18">
        <f>IF($A9="","",COUNTIFS('Deal Pipeline Log'!$D$4:$D$43,$A9,'Deal Pipeline Log'!$N$4:$N$43,1))</f>
        <v>1</v>
      </c>
      <c r="M9" s="19">
        <f>IF($A9="","",IF(L9=0,0,_xlfn.MAXIFS('Deal Pipeline Log'!$R$4:$R$43,'Deal Pipeline Log'!$D$4:$D$43,$A9,'Deal Pipeline Log'!$N$4:$N$43,1)))</f>
        <v>54</v>
      </c>
    </row>
    <row r="10" spans="1:13" x14ac:dyDescent="0.35">
      <c r="A10" s="17" t="s">
        <v>176</v>
      </c>
      <c r="B10" s="17" t="s">
        <v>177</v>
      </c>
      <c r="C10" s="17" t="s">
        <v>178</v>
      </c>
      <c r="D10" s="17" t="s">
        <v>179</v>
      </c>
      <c r="E10" s="17" t="s">
        <v>155</v>
      </c>
      <c r="F10" s="17" t="s">
        <v>143</v>
      </c>
      <c r="G10" s="17" t="s">
        <v>122</v>
      </c>
      <c r="H10" s="11">
        <v>3</v>
      </c>
      <c r="I10" s="9">
        <v>46266</v>
      </c>
      <c r="J10" s="17" t="s">
        <v>180</v>
      </c>
      <c r="K10" s="18">
        <f>IF($A10="","",COUNTIF('Deal Pipeline Log'!$D$4:$D$43,$A10))</f>
        <v>1</v>
      </c>
      <c r="L10" s="18">
        <f>IF($A10="","",COUNTIFS('Deal Pipeline Log'!$D$4:$D$43,$A10,'Deal Pipeline Log'!$N$4:$N$43,1))</f>
        <v>1</v>
      </c>
      <c r="M10" s="19">
        <f>IF($A10="","",IF(L10=0,0,_xlfn.MAXIFS('Deal Pipeline Log'!$R$4:$R$43,'Deal Pipeline Log'!$D$4:$D$43,$A10,'Deal Pipeline Log'!$N$4:$N$43,1)))</f>
        <v>62</v>
      </c>
    </row>
    <row r="11" spans="1:13" x14ac:dyDescent="0.35">
      <c r="A11" s="17" t="s">
        <v>181</v>
      </c>
      <c r="B11" s="17" t="s">
        <v>182</v>
      </c>
      <c r="C11" s="17" t="s">
        <v>183</v>
      </c>
      <c r="D11" s="17" t="s">
        <v>184</v>
      </c>
      <c r="E11" s="17" t="s">
        <v>142</v>
      </c>
      <c r="F11" s="17" t="s">
        <v>143</v>
      </c>
      <c r="G11" s="17" t="s">
        <v>120</v>
      </c>
      <c r="H11" s="11">
        <v>5</v>
      </c>
      <c r="I11" s="9">
        <v>46295</v>
      </c>
      <c r="J11" s="17" t="s">
        <v>185</v>
      </c>
      <c r="K11" s="18">
        <f>IF($A11="","",COUNTIF('Deal Pipeline Log'!$D$4:$D$43,$A11))</f>
        <v>1</v>
      </c>
      <c r="L11" s="18">
        <f>IF($A11="","",COUNTIFS('Deal Pipeline Log'!$D$4:$D$43,$A11,'Deal Pipeline Log'!$N$4:$N$43,1))</f>
        <v>1</v>
      </c>
      <c r="M11" s="19">
        <f>IF($A11="","",IF(L11=0,0,_xlfn.MAXIFS('Deal Pipeline Log'!$R$4:$R$43,'Deal Pipeline Log'!$D$4:$D$43,$A11,'Deal Pipeline Log'!$N$4:$N$43,1)))</f>
        <v>91</v>
      </c>
    </row>
    <row r="12" spans="1:13" x14ac:dyDescent="0.35">
      <c r="A12" s="17" t="s">
        <v>186</v>
      </c>
      <c r="B12" s="17" t="s">
        <v>187</v>
      </c>
      <c r="C12" s="17" t="s">
        <v>140</v>
      </c>
      <c r="D12" s="17" t="s">
        <v>188</v>
      </c>
      <c r="E12" s="17" t="s">
        <v>189</v>
      </c>
      <c r="F12" s="17" t="s">
        <v>190</v>
      </c>
      <c r="G12" s="17" t="s">
        <v>120</v>
      </c>
      <c r="H12" s="11">
        <v>2</v>
      </c>
      <c r="I12" s="9">
        <v>46203</v>
      </c>
      <c r="J12" s="17" t="s">
        <v>191</v>
      </c>
      <c r="K12" s="18">
        <f>IF($A12="","",COUNTIF('Deal Pipeline Log'!$D$4:$D$43,$A12))</f>
        <v>1</v>
      </c>
      <c r="L12" s="18">
        <f>IF($A12="","",COUNTIFS('Deal Pipeline Log'!$D$4:$D$43,$A12,'Deal Pipeline Log'!$N$4:$N$43,1))</f>
        <v>0</v>
      </c>
      <c r="M12" s="19">
        <f>IF($A12="","",IF(L12=0,0,_xlfn.MAXIFS('Deal Pipeline Log'!$R$4:$R$43,'Deal Pipeline Log'!$D$4:$D$43,$A12,'Deal Pipeline Log'!$N$4:$N$43,1)))</f>
        <v>0</v>
      </c>
    </row>
    <row r="13" spans="1:13" x14ac:dyDescent="0.35">
      <c r="A13" s="17" t="s">
        <v>192</v>
      </c>
      <c r="B13" s="17" t="s">
        <v>193</v>
      </c>
      <c r="C13" s="17" t="s">
        <v>194</v>
      </c>
      <c r="D13" s="17" t="s">
        <v>184</v>
      </c>
      <c r="E13" s="17" t="s">
        <v>148</v>
      </c>
      <c r="F13" s="17" t="s">
        <v>149</v>
      </c>
      <c r="G13" s="17" t="s">
        <v>122</v>
      </c>
      <c r="H13" s="11">
        <v>4</v>
      </c>
      <c r="I13" s="9">
        <v>46280</v>
      </c>
      <c r="J13" s="17" t="s">
        <v>195</v>
      </c>
      <c r="K13" s="18">
        <f>IF($A13="","",COUNTIF('Deal Pipeline Log'!$D$4:$D$43,$A13))</f>
        <v>1</v>
      </c>
      <c r="L13" s="18">
        <f>IF($A13="","",COUNTIFS('Deal Pipeline Log'!$D$4:$D$43,$A13,'Deal Pipeline Log'!$N$4:$N$43,1))</f>
        <v>1</v>
      </c>
      <c r="M13" s="19">
        <f>IF($A13="","",IF(L13=0,0,_xlfn.MAXIFS('Deal Pipeline Log'!$R$4:$R$43,'Deal Pipeline Log'!$D$4:$D$43,$A13,'Deal Pipeline Log'!$N$4:$N$43,1)))</f>
        <v>61.5</v>
      </c>
    </row>
    <row r="14" spans="1:13" x14ac:dyDescent="0.35">
      <c r="A14" s="17"/>
      <c r="B14" s="17"/>
      <c r="C14" s="17"/>
      <c r="D14" s="17"/>
      <c r="E14" s="17"/>
      <c r="F14" s="17"/>
      <c r="G14" s="17"/>
      <c r="H14" s="11"/>
      <c r="I14" s="9"/>
      <c r="J14" s="17"/>
      <c r="K14" s="18" t="str">
        <f>IF($A14="","",COUNTIF('Deal Pipeline Log'!$D$4:$D$43,$A14))</f>
        <v/>
      </c>
      <c r="L14" s="18" t="str">
        <f>IF($A14="","",COUNTIFS('Deal Pipeline Log'!$D$4:$D$43,$A14,'Deal Pipeline Log'!$N$4:$N$43,1))</f>
        <v/>
      </c>
      <c r="M14" s="19" t="str">
        <f>IF($A14="","",IF(L14=0,0,_xlfn.MAXIFS('Deal Pipeline Log'!$R$4:$R$43,'Deal Pipeline Log'!$D$4:$D$43,$A14,'Deal Pipeline Log'!$N$4:$N$43,1)))</f>
        <v/>
      </c>
    </row>
    <row r="15" spans="1:13" x14ac:dyDescent="0.35">
      <c r="A15" s="17"/>
      <c r="B15" s="17"/>
      <c r="C15" s="17"/>
      <c r="D15" s="17"/>
      <c r="E15" s="17"/>
      <c r="F15" s="17"/>
      <c r="G15" s="17"/>
      <c r="H15" s="11"/>
      <c r="I15" s="9"/>
      <c r="J15" s="17"/>
      <c r="K15" s="18" t="str">
        <f>IF($A15="","",COUNTIF('Deal Pipeline Log'!$D$4:$D$43,$A15))</f>
        <v/>
      </c>
      <c r="L15" s="18" t="str">
        <f>IF($A15="","",COUNTIFS('Deal Pipeline Log'!$D$4:$D$43,$A15,'Deal Pipeline Log'!$N$4:$N$43,1))</f>
        <v/>
      </c>
      <c r="M15" s="19" t="str">
        <f>IF($A15="","",IF(L15=0,0,_xlfn.MAXIFS('Deal Pipeline Log'!$R$4:$R$43,'Deal Pipeline Log'!$D$4:$D$43,$A15,'Deal Pipeline Log'!$N$4:$N$43,1)))</f>
        <v/>
      </c>
    </row>
    <row r="16" spans="1:13" x14ac:dyDescent="0.35">
      <c r="A16" s="17"/>
      <c r="B16" s="17"/>
      <c r="C16" s="17"/>
      <c r="D16" s="17"/>
      <c r="E16" s="17"/>
      <c r="F16" s="17"/>
      <c r="G16" s="17"/>
      <c r="H16" s="11"/>
      <c r="I16" s="9"/>
      <c r="J16" s="17"/>
      <c r="K16" s="18" t="str">
        <f>IF($A16="","",COUNTIF('Deal Pipeline Log'!$D$4:$D$43,$A16))</f>
        <v/>
      </c>
      <c r="L16" s="18" t="str">
        <f>IF($A16="","",COUNTIFS('Deal Pipeline Log'!$D$4:$D$43,$A16,'Deal Pipeline Log'!$N$4:$N$43,1))</f>
        <v/>
      </c>
      <c r="M16" s="19" t="str">
        <f>IF($A16="","",IF(L16=0,0,_xlfn.MAXIFS('Deal Pipeline Log'!$R$4:$R$43,'Deal Pipeline Log'!$D$4:$D$43,$A16,'Deal Pipeline Log'!$N$4:$N$43,1)))</f>
        <v/>
      </c>
    </row>
    <row r="17" spans="1:13" x14ac:dyDescent="0.35">
      <c r="A17" s="17"/>
      <c r="B17" s="17"/>
      <c r="C17" s="17"/>
      <c r="D17" s="17"/>
      <c r="E17" s="17"/>
      <c r="F17" s="17"/>
      <c r="G17" s="17"/>
      <c r="H17" s="11"/>
      <c r="I17" s="9"/>
      <c r="J17" s="17"/>
      <c r="K17" s="18" t="str">
        <f>IF($A17="","",COUNTIF('Deal Pipeline Log'!$D$4:$D$43,$A17))</f>
        <v/>
      </c>
      <c r="L17" s="18" t="str">
        <f>IF($A17="","",COUNTIFS('Deal Pipeline Log'!$D$4:$D$43,$A17,'Deal Pipeline Log'!$N$4:$N$43,1))</f>
        <v/>
      </c>
      <c r="M17" s="19" t="str">
        <f>IF($A17="","",IF(L17=0,0,_xlfn.MAXIFS('Deal Pipeline Log'!$R$4:$R$43,'Deal Pipeline Log'!$D$4:$D$43,$A17,'Deal Pipeline Log'!$N$4:$N$43,1)))</f>
        <v/>
      </c>
    </row>
    <row r="18" spans="1:13" x14ac:dyDescent="0.35">
      <c r="A18" s="17"/>
      <c r="B18" s="17"/>
      <c r="C18" s="17"/>
      <c r="D18" s="17"/>
      <c r="E18" s="17"/>
      <c r="F18" s="17"/>
      <c r="G18" s="17"/>
      <c r="H18" s="11"/>
      <c r="I18" s="9"/>
      <c r="J18" s="17"/>
      <c r="K18" s="18" t="str">
        <f>IF($A18="","",COUNTIF('Deal Pipeline Log'!$D$4:$D$43,$A18))</f>
        <v/>
      </c>
      <c r="L18" s="18" t="str">
        <f>IF($A18="","",COUNTIFS('Deal Pipeline Log'!$D$4:$D$43,$A18,'Deal Pipeline Log'!$N$4:$N$43,1))</f>
        <v/>
      </c>
      <c r="M18" s="19" t="str">
        <f>IF($A18="","",IF(L18=0,0,_xlfn.MAXIFS('Deal Pipeline Log'!$R$4:$R$43,'Deal Pipeline Log'!$D$4:$D$43,$A18,'Deal Pipeline Log'!$N$4:$N$43,1)))</f>
        <v/>
      </c>
    </row>
    <row r="19" spans="1:13" x14ac:dyDescent="0.35">
      <c r="A19" s="17"/>
      <c r="B19" s="17"/>
      <c r="C19" s="17"/>
      <c r="D19" s="17"/>
      <c r="E19" s="17"/>
      <c r="F19" s="17"/>
      <c r="G19" s="17"/>
      <c r="H19" s="11"/>
      <c r="I19" s="9"/>
      <c r="J19" s="17"/>
      <c r="K19" s="18" t="str">
        <f>IF($A19="","",COUNTIF('Deal Pipeline Log'!$D$4:$D$43,$A19))</f>
        <v/>
      </c>
      <c r="L19" s="18" t="str">
        <f>IF($A19="","",COUNTIFS('Deal Pipeline Log'!$D$4:$D$43,$A19,'Deal Pipeline Log'!$N$4:$N$43,1))</f>
        <v/>
      </c>
      <c r="M19" s="19" t="str">
        <f>IF($A19="","",IF(L19=0,0,_xlfn.MAXIFS('Deal Pipeline Log'!$R$4:$R$43,'Deal Pipeline Log'!$D$4:$D$43,$A19,'Deal Pipeline Log'!$N$4:$N$43,1)))</f>
        <v/>
      </c>
    </row>
    <row r="20" spans="1:13" x14ac:dyDescent="0.35">
      <c r="A20" s="17"/>
      <c r="B20" s="17"/>
      <c r="C20" s="17"/>
      <c r="D20" s="17"/>
      <c r="E20" s="17"/>
      <c r="F20" s="17"/>
      <c r="G20" s="17"/>
      <c r="H20" s="11"/>
      <c r="I20" s="9"/>
      <c r="J20" s="17"/>
      <c r="K20" s="18" t="str">
        <f>IF($A20="","",COUNTIF('Deal Pipeline Log'!$D$4:$D$43,$A20))</f>
        <v/>
      </c>
      <c r="L20" s="18" t="str">
        <f>IF($A20="","",COUNTIFS('Deal Pipeline Log'!$D$4:$D$43,$A20,'Deal Pipeline Log'!$N$4:$N$43,1))</f>
        <v/>
      </c>
      <c r="M20" s="19" t="str">
        <f>IF($A20="","",IF(L20=0,0,_xlfn.MAXIFS('Deal Pipeline Log'!$R$4:$R$43,'Deal Pipeline Log'!$D$4:$D$43,$A20,'Deal Pipeline Log'!$N$4:$N$43,1)))</f>
        <v/>
      </c>
    </row>
    <row r="21" spans="1:13" x14ac:dyDescent="0.35">
      <c r="A21" s="17"/>
      <c r="B21" s="17"/>
      <c r="C21" s="17"/>
      <c r="D21" s="17"/>
      <c r="E21" s="17"/>
      <c r="F21" s="17"/>
      <c r="G21" s="17"/>
      <c r="H21" s="11"/>
      <c r="I21" s="9"/>
      <c r="J21" s="17"/>
      <c r="K21" s="18" t="str">
        <f>IF($A21="","",COUNTIF('Deal Pipeline Log'!$D$4:$D$43,$A21))</f>
        <v/>
      </c>
      <c r="L21" s="18" t="str">
        <f>IF($A21="","",COUNTIFS('Deal Pipeline Log'!$D$4:$D$43,$A21,'Deal Pipeline Log'!$N$4:$N$43,1))</f>
        <v/>
      </c>
      <c r="M21" s="19" t="str">
        <f>IF($A21="","",IF(L21=0,0,_xlfn.MAXIFS('Deal Pipeline Log'!$R$4:$R$43,'Deal Pipeline Log'!$D$4:$D$43,$A21,'Deal Pipeline Log'!$N$4:$N$43,1)))</f>
        <v/>
      </c>
    </row>
    <row r="22" spans="1:13" x14ac:dyDescent="0.35">
      <c r="A22" s="17"/>
      <c r="B22" s="17"/>
      <c r="C22" s="17"/>
      <c r="D22" s="17"/>
      <c r="E22" s="17"/>
      <c r="F22" s="17"/>
      <c r="G22" s="17"/>
      <c r="H22" s="11"/>
      <c r="I22" s="9"/>
      <c r="J22" s="17"/>
      <c r="K22" s="18" t="str">
        <f>IF($A22="","",COUNTIF('Deal Pipeline Log'!$D$4:$D$43,$A22))</f>
        <v/>
      </c>
      <c r="L22" s="18" t="str">
        <f>IF($A22="","",COUNTIFS('Deal Pipeline Log'!$D$4:$D$43,$A22,'Deal Pipeline Log'!$N$4:$N$43,1))</f>
        <v/>
      </c>
      <c r="M22" s="19" t="str">
        <f>IF($A22="","",IF(L22=0,0,_xlfn.MAXIFS('Deal Pipeline Log'!$R$4:$R$43,'Deal Pipeline Log'!$D$4:$D$43,$A22,'Deal Pipeline Log'!$N$4:$N$43,1)))</f>
        <v/>
      </c>
    </row>
    <row r="23" spans="1:13" x14ac:dyDescent="0.35">
      <c r="A23" s="17"/>
      <c r="B23" s="17"/>
      <c r="C23" s="17"/>
      <c r="D23" s="17"/>
      <c r="E23" s="17"/>
      <c r="F23" s="17"/>
      <c r="G23" s="17"/>
      <c r="H23" s="11"/>
      <c r="I23" s="9"/>
      <c r="J23" s="17"/>
      <c r="K23" s="18" t="str">
        <f>IF($A23="","",COUNTIF('Deal Pipeline Log'!$D$4:$D$43,$A23))</f>
        <v/>
      </c>
      <c r="L23" s="18" t="str">
        <f>IF($A23="","",COUNTIFS('Deal Pipeline Log'!$D$4:$D$43,$A23,'Deal Pipeline Log'!$N$4:$N$43,1))</f>
        <v/>
      </c>
      <c r="M23" s="19" t="str">
        <f>IF($A23="","",IF(L23=0,0,_xlfn.MAXIFS('Deal Pipeline Log'!$R$4:$R$43,'Deal Pipeline Log'!$D$4:$D$43,$A23,'Deal Pipeline Log'!$N$4:$N$43,1)))</f>
        <v/>
      </c>
    </row>
    <row r="24" spans="1:13" x14ac:dyDescent="0.35">
      <c r="A24" s="17"/>
      <c r="B24" s="17"/>
      <c r="C24" s="17"/>
      <c r="D24" s="17"/>
      <c r="E24" s="17"/>
      <c r="F24" s="17"/>
      <c r="G24" s="17"/>
      <c r="H24" s="11"/>
      <c r="I24" s="9"/>
      <c r="J24" s="17"/>
      <c r="K24" s="18" t="str">
        <f>IF($A24="","",COUNTIF('Deal Pipeline Log'!$D$4:$D$43,$A24))</f>
        <v/>
      </c>
      <c r="L24" s="18" t="str">
        <f>IF($A24="","",COUNTIFS('Deal Pipeline Log'!$D$4:$D$43,$A24,'Deal Pipeline Log'!$N$4:$N$43,1))</f>
        <v/>
      </c>
      <c r="M24" s="19" t="str">
        <f>IF($A24="","",IF(L24=0,0,_xlfn.MAXIFS('Deal Pipeline Log'!$R$4:$R$43,'Deal Pipeline Log'!$D$4:$D$43,$A24,'Deal Pipeline Log'!$N$4:$N$43,1)))</f>
        <v/>
      </c>
    </row>
    <row r="25" spans="1:13" x14ac:dyDescent="0.35">
      <c r="A25" s="17"/>
      <c r="B25" s="17"/>
      <c r="C25" s="17"/>
      <c r="D25" s="17"/>
      <c r="E25" s="17"/>
      <c r="F25" s="17"/>
      <c r="G25" s="17"/>
      <c r="H25" s="11"/>
      <c r="I25" s="9"/>
      <c r="J25" s="17"/>
      <c r="K25" s="18" t="str">
        <f>IF($A25="","",COUNTIF('Deal Pipeline Log'!$D$4:$D$43,$A25))</f>
        <v/>
      </c>
      <c r="L25" s="18" t="str">
        <f>IF($A25="","",COUNTIFS('Deal Pipeline Log'!$D$4:$D$43,$A25,'Deal Pipeline Log'!$N$4:$N$43,1))</f>
        <v/>
      </c>
      <c r="M25" s="19" t="str">
        <f>IF($A25="","",IF(L25=0,0,_xlfn.MAXIFS('Deal Pipeline Log'!$R$4:$R$43,'Deal Pipeline Log'!$D$4:$D$43,$A25,'Deal Pipeline Log'!$N$4:$N$43,1)))</f>
        <v/>
      </c>
    </row>
    <row r="26" spans="1:13" x14ac:dyDescent="0.35">
      <c r="A26" s="17"/>
      <c r="B26" s="17"/>
      <c r="C26" s="17"/>
      <c r="D26" s="17"/>
      <c r="E26" s="17"/>
      <c r="F26" s="17"/>
      <c r="G26" s="17"/>
      <c r="H26" s="11"/>
      <c r="I26" s="9"/>
      <c r="J26" s="17"/>
      <c r="K26" s="18" t="str">
        <f>IF($A26="","",COUNTIF('Deal Pipeline Log'!$D$4:$D$43,$A26))</f>
        <v/>
      </c>
      <c r="L26" s="18" t="str">
        <f>IF($A26="","",COUNTIFS('Deal Pipeline Log'!$D$4:$D$43,$A26,'Deal Pipeline Log'!$N$4:$N$43,1))</f>
        <v/>
      </c>
      <c r="M26" s="19" t="str">
        <f>IF($A26="","",IF(L26=0,0,_xlfn.MAXIFS('Deal Pipeline Log'!$R$4:$R$43,'Deal Pipeline Log'!$D$4:$D$43,$A26,'Deal Pipeline Log'!$N$4:$N$43,1)))</f>
        <v/>
      </c>
    </row>
    <row r="27" spans="1:13" x14ac:dyDescent="0.35">
      <c r="A27" s="17"/>
      <c r="B27" s="17"/>
      <c r="C27" s="17"/>
      <c r="D27" s="17"/>
      <c r="E27" s="17"/>
      <c r="F27" s="17"/>
      <c r="G27" s="17"/>
      <c r="H27" s="11"/>
      <c r="I27" s="9"/>
      <c r="J27" s="17"/>
      <c r="K27" s="18" t="str">
        <f>IF($A27="","",COUNTIF('Deal Pipeline Log'!$D$4:$D$43,$A27))</f>
        <v/>
      </c>
      <c r="L27" s="18" t="str">
        <f>IF($A27="","",COUNTIFS('Deal Pipeline Log'!$D$4:$D$43,$A27,'Deal Pipeline Log'!$N$4:$N$43,1))</f>
        <v/>
      </c>
      <c r="M27" s="19" t="str">
        <f>IF($A27="","",IF(L27=0,0,_xlfn.MAXIFS('Deal Pipeline Log'!$R$4:$R$43,'Deal Pipeline Log'!$D$4:$D$43,$A27,'Deal Pipeline Log'!$N$4:$N$43,1)))</f>
        <v/>
      </c>
    </row>
    <row r="28" spans="1:13" x14ac:dyDescent="0.35">
      <c r="A28" s="17"/>
      <c r="B28" s="17"/>
      <c r="C28" s="17"/>
      <c r="D28" s="17"/>
      <c r="E28" s="17"/>
      <c r="F28" s="17"/>
      <c r="G28" s="17"/>
      <c r="H28" s="11"/>
      <c r="I28" s="9"/>
      <c r="J28" s="17"/>
      <c r="K28" s="18" t="str">
        <f>IF($A28="","",COUNTIF('Deal Pipeline Log'!$D$4:$D$43,$A28))</f>
        <v/>
      </c>
      <c r="L28" s="18" t="str">
        <f>IF($A28="","",COUNTIFS('Deal Pipeline Log'!$D$4:$D$43,$A28,'Deal Pipeline Log'!$N$4:$N$43,1))</f>
        <v/>
      </c>
      <c r="M28" s="19" t="str">
        <f>IF($A28="","",IF(L28=0,0,_xlfn.MAXIFS('Deal Pipeline Log'!$R$4:$R$43,'Deal Pipeline Log'!$D$4:$D$43,$A28,'Deal Pipeline Log'!$N$4:$N$43,1)))</f>
        <v/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'Settings and Scoring Rules'!$A$36:$A$38</xm:f>
          </x14:formula1>
          <xm:sqref>G4:G28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43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16" customWidth="1"/>
    <col min="3" max="3" width="22" customWidth="1"/>
    <col min="4" max="4" width="11" customWidth="1"/>
    <col min="5" max="5" width="13" customWidth="1"/>
    <col min="6" max="6" width="15" customWidth="1"/>
    <col min="7" max="7" width="20" customWidth="1"/>
    <col min="8" max="8" width="10" customWidth="1"/>
    <col min="9" max="9" width="8" customWidth="1"/>
    <col min="10" max="10" width="12" customWidth="1"/>
    <col min="11" max="11" width="32" customWidth="1"/>
    <col min="12" max="12" width="12" customWidth="1"/>
    <col min="13" max="13" width="10" customWidth="1"/>
    <col min="14" max="14" width="8" customWidth="1"/>
    <col min="15" max="16" width="9" customWidth="1"/>
    <col min="17" max="18" width="11" customWidth="1"/>
    <col min="19" max="19" width="12" customWidth="1"/>
    <col min="20" max="20" width="10" customWidth="1"/>
    <col min="21" max="21" width="11" customWidth="1"/>
    <col min="22" max="22" width="9" customWidth="1"/>
    <col min="23" max="23" width="20" customWidth="1"/>
    <col min="24" max="24" width="12" customWidth="1"/>
  </cols>
  <sheetData>
    <row r="1" spans="1:24" ht="18.5" x14ac:dyDescent="0.45">
      <c r="A1" s="1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5">
      <c r="A2" s="3" t="s">
        <v>196</v>
      </c>
    </row>
    <row r="3" spans="1:24" ht="43.5" x14ac:dyDescent="0.35">
      <c r="A3" s="5" t="s">
        <v>197</v>
      </c>
      <c r="B3" s="5" t="s">
        <v>126</v>
      </c>
      <c r="C3" s="5" t="s">
        <v>198</v>
      </c>
      <c r="D3" s="5" t="s">
        <v>199</v>
      </c>
      <c r="E3" s="5" t="s">
        <v>200</v>
      </c>
      <c r="F3" s="5" t="s">
        <v>106</v>
      </c>
      <c r="G3" s="5" t="s">
        <v>92</v>
      </c>
      <c r="H3" s="5" t="s">
        <v>201</v>
      </c>
      <c r="I3" s="5" t="s">
        <v>202</v>
      </c>
      <c r="J3" s="5" t="s">
        <v>203</v>
      </c>
      <c r="K3" s="5" t="s">
        <v>204</v>
      </c>
      <c r="L3" s="5" t="s">
        <v>205</v>
      </c>
      <c r="M3" s="5" t="s">
        <v>81</v>
      </c>
      <c r="N3" s="5" t="s">
        <v>95</v>
      </c>
      <c r="O3" s="5" t="s">
        <v>85</v>
      </c>
      <c r="P3" s="5" t="s">
        <v>206</v>
      </c>
      <c r="Q3" s="5" t="s">
        <v>207</v>
      </c>
      <c r="R3" s="5" t="s">
        <v>208</v>
      </c>
      <c r="S3" s="5" t="s">
        <v>209</v>
      </c>
      <c r="T3" s="5" t="s">
        <v>210</v>
      </c>
      <c r="U3" s="5" t="s">
        <v>211</v>
      </c>
      <c r="V3" s="5" t="s">
        <v>212</v>
      </c>
      <c r="W3" s="5" t="s">
        <v>213</v>
      </c>
      <c r="X3" s="5" t="s">
        <v>214</v>
      </c>
    </row>
    <row r="4" spans="1:24" x14ac:dyDescent="0.35">
      <c r="A4" s="17" t="s">
        <v>215</v>
      </c>
      <c r="B4" s="17" t="s">
        <v>216</v>
      </c>
      <c r="C4" s="17" t="s">
        <v>143</v>
      </c>
      <c r="D4" s="17" t="s">
        <v>138</v>
      </c>
      <c r="E4" s="8" t="str">
        <f>IF($D4="","",IFERROR(INDEX('Intermediary Directory'!$B$4:$B$28,MATCH($D4,'Intermediary Directory'!$A$4:$A$28,0)),"UNKNOWN ID"))</f>
        <v>Banker A</v>
      </c>
      <c r="F4" s="17" t="s">
        <v>111</v>
      </c>
      <c r="G4" s="17" t="s">
        <v>100</v>
      </c>
      <c r="H4" s="10">
        <v>6.5</v>
      </c>
      <c r="I4" s="11">
        <v>5</v>
      </c>
      <c r="J4" s="9">
        <v>46295</v>
      </c>
      <c r="K4" s="17" t="s">
        <v>217</v>
      </c>
      <c r="L4" s="9">
        <v>46303</v>
      </c>
      <c r="M4" s="20">
        <f>IF($A4="","",IFERROR(VLOOKUP($G4,'Settings and Scoring Rules'!$A$19:$D$28,3,FALSE),0))</f>
        <v>0.5</v>
      </c>
      <c r="N4" s="18">
        <f>IF($A4="","",IFERROR(VLOOKUP($G4,'Settings and Scoring Rules'!$A$19:$D$28,4,FALSE),0))</f>
        <v>1</v>
      </c>
      <c r="O4" s="19">
        <f>IF($A4="","",IF(AND($H4&gt;='Settings and Scoring Rules'!$B$5,$H4&lt;='Settings and Scoring Rules'!$B$6),1,IF(AND($H4&gt;='Settings and Scoring Rules'!$B$5*0.5,$H4&lt;='Settings and Scoring Rules'!$B$6*1.5),0.5,0)))</f>
        <v>1</v>
      </c>
      <c r="P4" s="19">
        <f>IF($A4="","",IFERROR(VLOOKUP($F4,'Settings and Scoring Rules'!$A$31:$B$33,2,FALSE),0))</f>
        <v>0.6</v>
      </c>
      <c r="Q4" s="18">
        <f>IF($A4="","",IFERROR(INDEX('Intermediary Directory'!$H$4:$H$28,MATCH($D4,'Intermediary Directory'!$A$4:$A$28,0)),1))</f>
        <v>5</v>
      </c>
      <c r="R4" s="19">
        <f>IF($A4="","",ROUND(100*('Settings and Scoring Rules'!$B$11*M4+'Settings and Scoring Rules'!$B$12*($I4-1)/4+'Settings and Scoring Rules'!$B$13*O4+'Settings and Scoring Rules'!$B$14*P4+'Settings and Scoring Rules'!$B$15*(Q4-1)/4),1))</f>
        <v>79</v>
      </c>
      <c r="S4" s="21">
        <f t="shared" ref="S4:S43" si="0">IF(OR($A4="",N4&lt;&gt;1),"",R4+(1000-ROW())/10^7)</f>
        <v>79.000099599999999</v>
      </c>
      <c r="T4" s="18">
        <f t="shared" ref="T4:T43" si="1">IF(S4="","",COUNTIF($S$4:$S$43,"&gt;"&amp;S4)+1)</f>
        <v>2</v>
      </c>
      <c r="U4" s="18">
        <f>IF(OR($A4="",$J4=""),"",'Settings and Scoring Rules'!$B$4-$J4)</f>
        <v>4</v>
      </c>
      <c r="V4" s="18">
        <f>IF(OR($A4="",N4&lt;&gt;1,$L4=""),"",MAX(0,'Settings and Scoring Rules'!$B$4-$L4))</f>
        <v>0</v>
      </c>
      <c r="W4" s="8" t="str">
        <f>IF($A4="","",IF(N4&lt;&gt;1,"Inactive - "&amp;$G4,IF($L4="","NO NEXT ACTION",IF(V4&gt;0,"OVERDUE "&amp;V4&amp;"d",IF($L4-'Settings and Scoring Rules'!$B$4&lt;='Settings and Scoring Rules'!$B$7,"DUE IN "&amp;($L4-'Settings and Scoring Rules'!$B$4)&amp;"d",IF(N(U4)&gt;'Settings and Scoring Rules'!$B$8,"STALE","On track"))))))</f>
        <v>DUE IN 4d</v>
      </c>
      <c r="X4" s="22">
        <f t="shared" ref="X4:X43" si="2">IF($A4="","",$H4*M4*N4)</f>
        <v>3.25</v>
      </c>
    </row>
    <row r="5" spans="1:24" x14ac:dyDescent="0.35">
      <c r="A5" s="17" t="s">
        <v>218</v>
      </c>
      <c r="B5" s="17" t="s">
        <v>219</v>
      </c>
      <c r="C5" s="17" t="s">
        <v>149</v>
      </c>
      <c r="D5" s="17" t="s">
        <v>145</v>
      </c>
      <c r="E5" s="8" t="str">
        <f>IF($D5="","",IFERROR(INDEX('Intermediary Directory'!$B$4:$B$28,MATCH($D5,'Intermediary Directory'!$A$4:$A$28,0)),"UNKNOWN ID"))</f>
        <v>Banker B</v>
      </c>
      <c r="F5" s="17" t="s">
        <v>113</v>
      </c>
      <c r="G5" s="17" t="s">
        <v>99</v>
      </c>
      <c r="H5" s="10">
        <v>9</v>
      </c>
      <c r="I5" s="11">
        <v>3</v>
      </c>
      <c r="J5" s="9">
        <v>46283</v>
      </c>
      <c r="K5" s="17" t="s">
        <v>220</v>
      </c>
      <c r="L5" s="9">
        <v>46294</v>
      </c>
      <c r="M5" s="20">
        <f>IF($A5="","",IFERROR(VLOOKUP($G5,'Settings and Scoring Rules'!$A$19:$D$28,3,FALSE),0))</f>
        <v>0.35</v>
      </c>
      <c r="N5" s="18">
        <f>IF($A5="","",IFERROR(VLOOKUP($G5,'Settings and Scoring Rules'!$A$19:$D$28,4,FALSE),0))</f>
        <v>1</v>
      </c>
      <c r="O5" s="19">
        <f>IF($A5="","",IF(AND($H5&gt;='Settings and Scoring Rules'!$B$5,$H5&lt;='Settings and Scoring Rules'!$B$6),1,IF(AND($H5&gt;='Settings and Scoring Rules'!$B$5*0.5,$H5&lt;='Settings and Scoring Rules'!$B$6*1.5),0.5,0)))</f>
        <v>1</v>
      </c>
      <c r="P5" s="19">
        <f>IF($A5="","",IFERROR(VLOOKUP($F5,'Settings and Scoring Rules'!$A$31:$B$33,2,FALSE),0))</f>
        <v>0.2</v>
      </c>
      <c r="Q5" s="18">
        <f>IF($A5="","",IFERROR(INDEX('Intermediary Directory'!$H$4:$H$28,MATCH($D5,'Intermediary Directory'!$A$4:$A$28,0)),1))</f>
        <v>4</v>
      </c>
      <c r="R5" s="19">
        <f>IF($A5="","",ROUND(100*('Settings and Scoring Rules'!$B$11*M5+'Settings and Scoring Rules'!$B$12*($I5-1)/4+'Settings and Scoring Rules'!$B$13*O5+'Settings and Scoring Rules'!$B$14*P5+'Settings and Scoring Rules'!$B$15*(Q5-1)/4),1))</f>
        <v>51</v>
      </c>
      <c r="S5" s="21">
        <f t="shared" si="0"/>
        <v>51.000099499999997</v>
      </c>
      <c r="T5" s="18">
        <f t="shared" si="1"/>
        <v>8</v>
      </c>
      <c r="U5" s="18">
        <f>IF(OR($A5="",$J5=""),"",'Settings and Scoring Rules'!$B$4-$J5)</f>
        <v>16</v>
      </c>
      <c r="V5" s="18">
        <f>IF(OR($A5="",N5&lt;&gt;1,$L5=""),"",MAX(0,'Settings and Scoring Rules'!$B$4-$L5))</f>
        <v>5</v>
      </c>
      <c r="W5" s="8" t="str">
        <f>IF($A5="","",IF(N5&lt;&gt;1,"Inactive - "&amp;$G5,IF($L5="","NO NEXT ACTION",IF(V5&gt;0,"OVERDUE "&amp;V5&amp;"d",IF($L5-'Settings and Scoring Rules'!$B$4&lt;='Settings and Scoring Rules'!$B$7,"DUE IN "&amp;($L5-'Settings and Scoring Rules'!$B$4)&amp;"d",IF(N(U5)&gt;'Settings and Scoring Rules'!$B$8,"STALE","On track"))))))</f>
        <v>OVERDUE 5d</v>
      </c>
      <c r="X5" s="22">
        <f t="shared" si="2"/>
        <v>3.15</v>
      </c>
    </row>
    <row r="6" spans="1:24" x14ac:dyDescent="0.35">
      <c r="A6" s="17" t="s">
        <v>221</v>
      </c>
      <c r="B6" s="17" t="s">
        <v>222</v>
      </c>
      <c r="C6" s="17" t="s">
        <v>156</v>
      </c>
      <c r="D6" s="17" t="s">
        <v>151</v>
      </c>
      <c r="E6" s="8" t="str">
        <f>IF($D6="","",IFERROR(INDEX('Intermediary Directory'!$B$4:$B$28,MATCH($D6,'Intermediary Directory'!$A$4:$A$28,0)),"UNKNOWN ID"))</f>
        <v>Broker C</v>
      </c>
      <c r="F6" s="17" t="s">
        <v>109</v>
      </c>
      <c r="G6" s="17" t="s">
        <v>98</v>
      </c>
      <c r="H6" s="10">
        <v>4.2</v>
      </c>
      <c r="I6" s="11">
        <v>4</v>
      </c>
      <c r="J6" s="9">
        <v>46277</v>
      </c>
      <c r="K6" s="17" t="s">
        <v>223</v>
      </c>
      <c r="L6" s="9">
        <v>46291</v>
      </c>
      <c r="M6" s="20">
        <f>IF($A6="","",IFERROR(VLOOKUP($G6,'Settings and Scoring Rules'!$A$19:$D$28,3,FALSE),0))</f>
        <v>0.2</v>
      </c>
      <c r="N6" s="18">
        <f>IF($A6="","",IFERROR(VLOOKUP($G6,'Settings and Scoring Rules'!$A$19:$D$28,4,FALSE),0))</f>
        <v>1</v>
      </c>
      <c r="O6" s="19">
        <f>IF($A6="","",IF(AND($H6&gt;='Settings and Scoring Rules'!$B$5,$H6&lt;='Settings and Scoring Rules'!$B$6),1,IF(AND($H6&gt;='Settings and Scoring Rules'!$B$5*0.5,$H6&lt;='Settings and Scoring Rules'!$B$6*1.5),0.5,0)))</f>
        <v>1</v>
      </c>
      <c r="P6" s="19">
        <f>IF($A6="","",IFERROR(VLOOKUP($F6,'Settings and Scoring Rules'!$A$31:$B$33,2,FALSE),0))</f>
        <v>1</v>
      </c>
      <c r="Q6" s="18">
        <f>IF($A6="","",IFERROR(INDEX('Intermediary Directory'!$H$4:$H$28,MATCH($D6,'Intermediary Directory'!$A$4:$A$28,0)),1))</f>
        <v>3</v>
      </c>
      <c r="R6" s="19">
        <f>IF($A6="","",ROUND(100*('Settings and Scoring Rules'!$B$11*M6+'Settings and Scoring Rules'!$B$12*($I6-1)/4+'Settings and Scoring Rules'!$B$13*O6+'Settings and Scoring Rules'!$B$14*P6+'Settings and Scoring Rules'!$B$15*(Q6-1)/4),1))</f>
        <v>63.5</v>
      </c>
      <c r="S6" s="21">
        <f t="shared" si="0"/>
        <v>63.500099400000003</v>
      </c>
      <c r="T6" s="18">
        <f t="shared" si="1"/>
        <v>3</v>
      </c>
      <c r="U6" s="18">
        <f>IF(OR($A6="",$J6=""),"",'Settings and Scoring Rules'!$B$4-$J6)</f>
        <v>22</v>
      </c>
      <c r="V6" s="18">
        <f>IF(OR($A6="",N6&lt;&gt;1,$L6=""),"",MAX(0,'Settings and Scoring Rules'!$B$4-$L6))</f>
        <v>8</v>
      </c>
      <c r="W6" s="8" t="str">
        <f>IF($A6="","",IF(N6&lt;&gt;1,"Inactive - "&amp;$G6,IF($L6="","NO NEXT ACTION",IF(V6&gt;0,"OVERDUE "&amp;V6&amp;"d",IF($L6-'Settings and Scoring Rules'!$B$4&lt;='Settings and Scoring Rules'!$B$7,"DUE IN "&amp;($L6-'Settings and Scoring Rules'!$B$4)&amp;"d",IF(N(U6)&gt;'Settings and Scoring Rules'!$B$8,"STALE","On track"))))))</f>
        <v>OVERDUE 8d</v>
      </c>
      <c r="X6" s="22">
        <f t="shared" si="2"/>
        <v>0.84000000000000008</v>
      </c>
    </row>
    <row r="7" spans="1:24" x14ac:dyDescent="0.35">
      <c r="A7" s="17" t="s">
        <v>224</v>
      </c>
      <c r="B7" s="17" t="s">
        <v>225</v>
      </c>
      <c r="C7" s="17" t="s">
        <v>161</v>
      </c>
      <c r="D7" s="17" t="s">
        <v>158</v>
      </c>
      <c r="E7" s="8" t="str">
        <f>IF($D7="","",IFERROR(INDEX('Intermediary Directory'!$B$4:$B$28,MATCH($D7,'Intermediary Directory'!$A$4:$A$28,0)),"UNKNOWN ID"))</f>
        <v>Broker D</v>
      </c>
      <c r="F7" s="17" t="s">
        <v>111</v>
      </c>
      <c r="G7" s="17" t="s">
        <v>97</v>
      </c>
      <c r="H7" s="10">
        <v>3.1</v>
      </c>
      <c r="I7" s="11">
        <v>4</v>
      </c>
      <c r="J7" s="9">
        <v>46290</v>
      </c>
      <c r="K7" s="17" t="s">
        <v>226</v>
      </c>
      <c r="L7" s="9">
        <v>46298</v>
      </c>
      <c r="M7" s="20">
        <f>IF($A7="","",IFERROR(VLOOKUP($G7,'Settings and Scoring Rules'!$A$19:$D$28,3,FALSE),0))</f>
        <v>0.1</v>
      </c>
      <c r="N7" s="18">
        <f>IF($A7="","",IFERROR(VLOOKUP($G7,'Settings and Scoring Rules'!$A$19:$D$28,4,FALSE),0))</f>
        <v>1</v>
      </c>
      <c r="O7" s="19">
        <f>IF($A7="","",IF(AND($H7&gt;='Settings and Scoring Rules'!$B$5,$H7&lt;='Settings and Scoring Rules'!$B$6),1,IF(AND($H7&gt;='Settings and Scoring Rules'!$B$5*0.5,$H7&lt;='Settings and Scoring Rules'!$B$6*1.5),0.5,0)))</f>
        <v>1</v>
      </c>
      <c r="P7" s="19">
        <f>IF($A7="","",IFERROR(VLOOKUP($F7,'Settings and Scoring Rules'!$A$31:$B$33,2,FALSE),0))</f>
        <v>0.6</v>
      </c>
      <c r="Q7" s="18">
        <f>IF($A7="","",IFERROR(INDEX('Intermediary Directory'!$H$4:$H$28,MATCH($D7,'Intermediary Directory'!$A$4:$A$28,0)),1))</f>
        <v>4</v>
      </c>
      <c r="R7" s="19">
        <f>IF($A7="","",ROUND(100*('Settings and Scoring Rules'!$B$11*M7+'Settings and Scoring Rules'!$B$12*($I7-1)/4+'Settings and Scoring Rules'!$B$13*O7+'Settings and Scoring Rules'!$B$14*P7+'Settings and Scoring Rules'!$B$15*(Q7-1)/4),1))</f>
        <v>57</v>
      </c>
      <c r="S7" s="21">
        <f t="shared" si="0"/>
        <v>57.000099300000002</v>
      </c>
      <c r="T7" s="18">
        <f t="shared" si="1"/>
        <v>6</v>
      </c>
      <c r="U7" s="18">
        <f>IF(OR($A7="",$J7=""),"",'Settings and Scoring Rules'!$B$4-$J7)</f>
        <v>9</v>
      </c>
      <c r="V7" s="18">
        <f>IF(OR($A7="",N7&lt;&gt;1,$L7=""),"",MAX(0,'Settings and Scoring Rules'!$B$4-$L7))</f>
        <v>1</v>
      </c>
      <c r="W7" s="8" t="str">
        <f>IF($A7="","",IF(N7&lt;&gt;1,"Inactive - "&amp;$G7,IF($L7="","NO NEXT ACTION",IF(V7&gt;0,"OVERDUE "&amp;V7&amp;"d",IF($L7-'Settings and Scoring Rules'!$B$4&lt;='Settings and Scoring Rules'!$B$7,"DUE IN "&amp;($L7-'Settings and Scoring Rules'!$B$4)&amp;"d",IF(N(U7)&gt;'Settings and Scoring Rules'!$B$8,"STALE","On track"))))))</f>
        <v>OVERDUE 1d</v>
      </c>
      <c r="X7" s="22">
        <f t="shared" si="2"/>
        <v>0.31000000000000005</v>
      </c>
    </row>
    <row r="8" spans="1:24" x14ac:dyDescent="0.35">
      <c r="A8" s="17" t="s">
        <v>227</v>
      </c>
      <c r="B8" s="17" t="s">
        <v>228</v>
      </c>
      <c r="C8" s="17" t="s">
        <v>168</v>
      </c>
      <c r="D8" s="17" t="s">
        <v>163</v>
      </c>
      <c r="E8" s="8" t="str">
        <f>IF($D8="","",IFERROR(INDEX('Intermediary Directory'!$B$4:$B$28,MATCH($D8,'Intermediary Directory'!$A$4:$A$28,0)),"UNKNOWN ID"))</f>
        <v>Advisor E</v>
      </c>
      <c r="F8" s="17" t="s">
        <v>113</v>
      </c>
      <c r="G8" s="17" t="s">
        <v>98</v>
      </c>
      <c r="H8" s="10">
        <v>18</v>
      </c>
      <c r="I8" s="11">
        <v>3</v>
      </c>
      <c r="J8" s="9">
        <v>46289</v>
      </c>
      <c r="K8" s="17" t="s">
        <v>229</v>
      </c>
      <c r="L8" s="9">
        <v>46305</v>
      </c>
      <c r="M8" s="20">
        <f>IF($A8="","",IFERROR(VLOOKUP($G8,'Settings and Scoring Rules'!$A$19:$D$28,3,FALSE),0))</f>
        <v>0.2</v>
      </c>
      <c r="N8" s="18">
        <f>IF($A8="","",IFERROR(VLOOKUP($G8,'Settings and Scoring Rules'!$A$19:$D$28,4,FALSE),0))</f>
        <v>1</v>
      </c>
      <c r="O8" s="19">
        <f>IF($A8="","",IF(AND($H8&gt;='Settings and Scoring Rules'!$B$5,$H8&lt;='Settings and Scoring Rules'!$B$6),1,IF(AND($H8&gt;='Settings and Scoring Rules'!$B$5*0.5,$H8&lt;='Settings and Scoring Rules'!$B$6*1.5),0.5,0)))</f>
        <v>0.5</v>
      </c>
      <c r="P8" s="19">
        <f>IF($A8="","",IFERROR(VLOOKUP($F8,'Settings and Scoring Rules'!$A$31:$B$33,2,FALSE),0))</f>
        <v>0.2</v>
      </c>
      <c r="Q8" s="18">
        <f>IF($A8="","",IFERROR(INDEX('Intermediary Directory'!$H$4:$H$28,MATCH($D8,'Intermediary Directory'!$A$4:$A$28,0)),1))</f>
        <v>3</v>
      </c>
      <c r="R8" s="19">
        <f>IF($A8="","",ROUND(100*('Settings and Scoring Rules'!$B$11*M8+'Settings and Scoring Rules'!$B$12*($I8-1)/4+'Settings and Scoring Rules'!$B$13*O8+'Settings and Scoring Rules'!$B$14*P8+'Settings and Scoring Rules'!$B$15*(Q8-1)/4),1))</f>
        <v>36.5</v>
      </c>
      <c r="S8" s="21">
        <f t="shared" si="0"/>
        <v>36.500099200000001</v>
      </c>
      <c r="T8" s="18">
        <f t="shared" si="1"/>
        <v>10</v>
      </c>
      <c r="U8" s="18">
        <f>IF(OR($A8="",$J8=""),"",'Settings and Scoring Rules'!$B$4-$J8)</f>
        <v>10</v>
      </c>
      <c r="V8" s="18">
        <f>IF(OR($A8="",N8&lt;&gt;1,$L8=""),"",MAX(0,'Settings and Scoring Rules'!$B$4-$L8))</f>
        <v>0</v>
      </c>
      <c r="W8" s="8" t="str">
        <f>IF($A8="","",IF(N8&lt;&gt;1,"Inactive - "&amp;$G8,IF($L8="","NO NEXT ACTION",IF(V8&gt;0,"OVERDUE "&amp;V8&amp;"d",IF($L8-'Settings and Scoring Rules'!$B$4&lt;='Settings and Scoring Rules'!$B$7,"DUE IN "&amp;($L8-'Settings and Scoring Rules'!$B$4)&amp;"d",IF(N(U8)&gt;'Settings and Scoring Rules'!$B$8,"STALE","On track"))))))</f>
        <v>DUE IN 6d</v>
      </c>
      <c r="X8" s="22">
        <f t="shared" si="2"/>
        <v>3.6</v>
      </c>
    </row>
    <row r="9" spans="1:24" x14ac:dyDescent="0.35">
      <c r="A9" s="17" t="s">
        <v>230</v>
      </c>
      <c r="B9" s="17" t="s">
        <v>231</v>
      </c>
      <c r="C9" s="17" t="s">
        <v>143</v>
      </c>
      <c r="D9" s="17" t="s">
        <v>181</v>
      </c>
      <c r="E9" s="8" t="str">
        <f>IF($D9="","",IFERROR(INDEX('Intermediary Directory'!$B$4:$B$28,MATCH($D9,'Intermediary Directory'!$A$4:$A$28,0)),"UNKNOWN ID"))</f>
        <v>Operator H</v>
      </c>
      <c r="F9" s="17" t="s">
        <v>109</v>
      </c>
      <c r="G9" s="17" t="s">
        <v>101</v>
      </c>
      <c r="H9" s="10">
        <v>7.8</v>
      </c>
      <c r="I9" s="11">
        <v>5</v>
      </c>
      <c r="J9" s="9">
        <v>46296</v>
      </c>
      <c r="K9" s="17" t="s">
        <v>232</v>
      </c>
      <c r="L9" s="9">
        <v>46301</v>
      </c>
      <c r="M9" s="20">
        <f>IF($A9="","",IFERROR(VLOOKUP($G9,'Settings and Scoring Rules'!$A$19:$D$28,3,FALSE),0))</f>
        <v>0.7</v>
      </c>
      <c r="N9" s="18">
        <f>IF($A9="","",IFERROR(VLOOKUP($G9,'Settings and Scoring Rules'!$A$19:$D$28,4,FALSE),0))</f>
        <v>1</v>
      </c>
      <c r="O9" s="19">
        <f>IF($A9="","",IF(AND($H9&gt;='Settings and Scoring Rules'!$B$5,$H9&lt;='Settings and Scoring Rules'!$B$6),1,IF(AND($H9&gt;='Settings and Scoring Rules'!$B$5*0.5,$H9&lt;='Settings and Scoring Rules'!$B$6*1.5),0.5,0)))</f>
        <v>1</v>
      </c>
      <c r="P9" s="19">
        <f>IF($A9="","",IFERROR(VLOOKUP($F9,'Settings and Scoring Rules'!$A$31:$B$33,2,FALSE),0))</f>
        <v>1</v>
      </c>
      <c r="Q9" s="18">
        <f>IF($A9="","",IFERROR(INDEX('Intermediary Directory'!$H$4:$H$28,MATCH($D9,'Intermediary Directory'!$A$4:$A$28,0)),1))</f>
        <v>5</v>
      </c>
      <c r="R9" s="19">
        <f>IF($A9="","",ROUND(100*('Settings and Scoring Rules'!$B$11*M9+'Settings and Scoring Rules'!$B$12*($I9-1)/4+'Settings and Scoring Rules'!$B$13*O9+'Settings and Scoring Rules'!$B$14*P9+'Settings and Scoring Rules'!$B$15*(Q9-1)/4),1))</f>
        <v>91</v>
      </c>
      <c r="S9" s="21">
        <f t="shared" si="0"/>
        <v>91.0000991</v>
      </c>
      <c r="T9" s="18">
        <f t="shared" si="1"/>
        <v>1</v>
      </c>
      <c r="U9" s="18">
        <f>IF(OR($A9="",$J9=""),"",'Settings and Scoring Rules'!$B$4-$J9)</f>
        <v>3</v>
      </c>
      <c r="V9" s="18">
        <f>IF(OR($A9="",N9&lt;&gt;1,$L9=""),"",MAX(0,'Settings and Scoring Rules'!$B$4-$L9))</f>
        <v>0</v>
      </c>
      <c r="W9" s="8" t="str">
        <f>IF($A9="","",IF(N9&lt;&gt;1,"Inactive - "&amp;$G9,IF($L9="","NO NEXT ACTION",IF(V9&gt;0,"OVERDUE "&amp;V9&amp;"d",IF($L9-'Settings and Scoring Rules'!$B$4&lt;='Settings and Scoring Rules'!$B$7,"DUE IN "&amp;($L9-'Settings and Scoring Rules'!$B$4)&amp;"d",IF(N(U9)&gt;'Settings and Scoring Rules'!$B$8,"STALE","On track"))))))</f>
        <v>DUE IN 2d</v>
      </c>
      <c r="X9" s="22">
        <f t="shared" si="2"/>
        <v>5.46</v>
      </c>
    </row>
    <row r="10" spans="1:24" ht="29" x14ac:dyDescent="0.35">
      <c r="A10" s="17" t="s">
        <v>233</v>
      </c>
      <c r="B10" s="17" t="s">
        <v>234</v>
      </c>
      <c r="C10" s="17" t="s">
        <v>174</v>
      </c>
      <c r="D10" s="17" t="s">
        <v>170</v>
      </c>
      <c r="E10" s="8" t="str">
        <f>IF($D10="","",IFERROR(INDEX('Intermediary Directory'!$B$4:$B$28,MATCH($D10,'Intermediary Directory'!$A$4:$A$28,0)),"UNKNOWN ID"))</f>
        <v>CPA F</v>
      </c>
      <c r="F10" s="17" t="s">
        <v>109</v>
      </c>
      <c r="G10" s="17" t="s">
        <v>96</v>
      </c>
      <c r="H10" s="10">
        <v>2.4</v>
      </c>
      <c r="I10" s="11">
        <v>4</v>
      </c>
      <c r="J10" s="9">
        <v>46264</v>
      </c>
      <c r="K10" s="17" t="s">
        <v>235</v>
      </c>
      <c r="L10" s="9">
        <v>46280</v>
      </c>
      <c r="M10" s="20">
        <f>IF($A10="","",IFERROR(VLOOKUP($G10,'Settings and Scoring Rules'!$A$19:$D$28,3,FALSE),0))</f>
        <v>0.05</v>
      </c>
      <c r="N10" s="18">
        <f>IF($A10="","",IFERROR(VLOOKUP($G10,'Settings and Scoring Rules'!$A$19:$D$28,4,FALSE),0))</f>
        <v>1</v>
      </c>
      <c r="O10" s="19">
        <f>IF($A10="","",IF(AND($H10&gt;='Settings and Scoring Rules'!$B$5,$H10&lt;='Settings and Scoring Rules'!$B$6),1,IF(AND($H10&gt;='Settings and Scoring Rules'!$B$5*0.5,$H10&lt;='Settings and Scoring Rules'!$B$6*1.5),0.5,0)))</f>
        <v>0.5</v>
      </c>
      <c r="P10" s="19">
        <f>IF($A10="","",IFERROR(VLOOKUP($F10,'Settings and Scoring Rules'!$A$31:$B$33,2,FALSE),0))</f>
        <v>1</v>
      </c>
      <c r="Q10" s="18">
        <f>IF($A10="","",IFERROR(INDEX('Intermediary Directory'!$H$4:$H$28,MATCH($D10,'Intermediary Directory'!$A$4:$A$28,0)),1))</f>
        <v>4</v>
      </c>
      <c r="R10" s="19">
        <f>IF($A10="","",ROUND(100*('Settings and Scoring Rules'!$B$11*M10+'Settings and Scoring Rules'!$B$12*($I10-1)/4+'Settings and Scoring Rules'!$B$13*O10+'Settings and Scoring Rules'!$B$14*P10+'Settings and Scoring Rules'!$B$15*(Q10-1)/4),1))</f>
        <v>54</v>
      </c>
      <c r="S10" s="21">
        <f t="shared" si="0"/>
        <v>54.000098999999999</v>
      </c>
      <c r="T10" s="18">
        <f t="shared" si="1"/>
        <v>7</v>
      </c>
      <c r="U10" s="18">
        <f>IF(OR($A10="",$J10=""),"",'Settings and Scoring Rules'!$B$4-$J10)</f>
        <v>35</v>
      </c>
      <c r="V10" s="18">
        <f>IF(OR($A10="",N10&lt;&gt;1,$L10=""),"",MAX(0,'Settings and Scoring Rules'!$B$4-$L10))</f>
        <v>19</v>
      </c>
      <c r="W10" s="8" t="str">
        <f>IF($A10="","",IF(N10&lt;&gt;1,"Inactive - "&amp;$G10,IF($L10="","NO NEXT ACTION",IF(V10&gt;0,"OVERDUE "&amp;V10&amp;"d",IF($L10-'Settings and Scoring Rules'!$B$4&lt;='Settings and Scoring Rules'!$B$7,"DUE IN "&amp;($L10-'Settings and Scoring Rules'!$B$4)&amp;"d",IF(N(U10)&gt;'Settings and Scoring Rules'!$B$8,"STALE","On track"))))))</f>
        <v>OVERDUE 19d</v>
      </c>
      <c r="X10" s="22">
        <f t="shared" si="2"/>
        <v>0.12</v>
      </c>
    </row>
    <row r="11" spans="1:24" ht="29" x14ac:dyDescent="0.35">
      <c r="A11" s="17" t="s">
        <v>236</v>
      </c>
      <c r="B11" s="17" t="s">
        <v>237</v>
      </c>
      <c r="C11" s="17" t="s">
        <v>190</v>
      </c>
      <c r="D11" s="17" t="s">
        <v>186</v>
      </c>
      <c r="E11" s="8" t="str">
        <f>IF($D11="","",IFERROR(INDEX('Intermediary Directory'!$B$4:$B$28,MATCH($D11,'Intermediary Directory'!$A$4:$A$28,0)),"UNKNOWN ID"))</f>
        <v>Banker I</v>
      </c>
      <c r="F11" s="17" t="s">
        <v>113</v>
      </c>
      <c r="G11" s="17" t="s">
        <v>104</v>
      </c>
      <c r="H11" s="10">
        <v>11</v>
      </c>
      <c r="I11" s="11">
        <v>2</v>
      </c>
      <c r="J11" s="9">
        <v>46249</v>
      </c>
      <c r="K11" s="17" t="s">
        <v>238</v>
      </c>
      <c r="L11" s="9"/>
      <c r="M11" s="20">
        <f>IF($A11="","",IFERROR(VLOOKUP($G11,'Settings and Scoring Rules'!$A$19:$D$28,3,FALSE),0))</f>
        <v>0</v>
      </c>
      <c r="N11" s="18">
        <f>IF($A11="","",IFERROR(VLOOKUP($G11,'Settings and Scoring Rules'!$A$19:$D$28,4,FALSE),0))</f>
        <v>0</v>
      </c>
      <c r="O11" s="19">
        <f>IF($A11="","",IF(AND($H11&gt;='Settings and Scoring Rules'!$B$5,$H11&lt;='Settings and Scoring Rules'!$B$6),1,IF(AND($H11&gt;='Settings and Scoring Rules'!$B$5*0.5,$H11&lt;='Settings and Scoring Rules'!$B$6*1.5),0.5,0)))</f>
        <v>1</v>
      </c>
      <c r="P11" s="19">
        <f>IF($A11="","",IFERROR(VLOOKUP($F11,'Settings and Scoring Rules'!$A$31:$B$33,2,FALSE),0))</f>
        <v>0.2</v>
      </c>
      <c r="Q11" s="18">
        <f>IF($A11="","",IFERROR(INDEX('Intermediary Directory'!$H$4:$H$28,MATCH($D11,'Intermediary Directory'!$A$4:$A$28,0)),1))</f>
        <v>2</v>
      </c>
      <c r="R11" s="19">
        <f>IF($A11="","",ROUND(100*('Settings and Scoring Rules'!$B$11*M11+'Settings and Scoring Rules'!$B$12*($I11-1)/4+'Settings and Scoring Rules'!$B$13*O11+'Settings and Scoring Rules'!$B$14*P11+'Settings and Scoring Rules'!$B$15*(Q11-1)/4),1))</f>
        <v>28</v>
      </c>
      <c r="S11" s="21" t="str">
        <f t="shared" si="0"/>
        <v/>
      </c>
      <c r="T11" s="18" t="str">
        <f t="shared" si="1"/>
        <v/>
      </c>
      <c r="U11" s="18">
        <f>IF(OR($A11="",$J11=""),"",'Settings and Scoring Rules'!$B$4-$J11)</f>
        <v>50</v>
      </c>
      <c r="V11" s="18" t="str">
        <f>IF(OR($A11="",N11&lt;&gt;1,$L11=""),"",MAX(0,'Settings and Scoring Rules'!$B$4-$L11))</f>
        <v/>
      </c>
      <c r="W11" s="8" t="str">
        <f>IF($A11="","",IF(N11&lt;&gt;1,"Inactive - "&amp;$G11,IF($L11="","NO NEXT ACTION",IF(V11&gt;0,"OVERDUE "&amp;V11&amp;"d",IF($L11-'Settings and Scoring Rules'!$B$4&lt;='Settings and Scoring Rules'!$B$7,"DUE IN "&amp;($L11-'Settings and Scoring Rules'!$B$4)&amp;"d",IF(N(U11)&gt;'Settings and Scoring Rules'!$B$8,"STALE","On track"))))))</f>
        <v>Inactive - Passed</v>
      </c>
      <c r="X11" s="22">
        <f t="shared" si="2"/>
        <v>0</v>
      </c>
    </row>
    <row r="12" spans="1:24" x14ac:dyDescent="0.35">
      <c r="A12" s="17" t="s">
        <v>239</v>
      </c>
      <c r="B12" s="17" t="s">
        <v>240</v>
      </c>
      <c r="C12" s="17" t="s">
        <v>149</v>
      </c>
      <c r="D12" s="17" t="s">
        <v>192</v>
      </c>
      <c r="E12" s="8" t="str">
        <f>IF($D12="","",IFERROR(INDEX('Intermediary Directory'!$B$4:$B$28,MATCH($D12,'Intermediary Directory'!$A$4:$A$28,0)),"UNKNOWN ID"))</f>
        <v>Founder J</v>
      </c>
      <c r="F12" s="17" t="s">
        <v>109</v>
      </c>
      <c r="G12" s="17" t="s">
        <v>96</v>
      </c>
      <c r="H12" s="10">
        <v>5.5</v>
      </c>
      <c r="I12" s="11">
        <v>4</v>
      </c>
      <c r="J12" s="9">
        <v>46285</v>
      </c>
      <c r="K12" s="17" t="s">
        <v>241</v>
      </c>
      <c r="L12" s="9">
        <v>46307</v>
      </c>
      <c r="M12" s="20">
        <f>IF($A12="","",IFERROR(VLOOKUP($G12,'Settings and Scoring Rules'!$A$19:$D$28,3,FALSE),0))</f>
        <v>0.05</v>
      </c>
      <c r="N12" s="18">
        <f>IF($A12="","",IFERROR(VLOOKUP($G12,'Settings and Scoring Rules'!$A$19:$D$28,4,FALSE),0))</f>
        <v>1</v>
      </c>
      <c r="O12" s="19">
        <f>IF($A12="","",IF(AND($H12&gt;='Settings and Scoring Rules'!$B$5,$H12&lt;='Settings and Scoring Rules'!$B$6),1,IF(AND($H12&gt;='Settings and Scoring Rules'!$B$5*0.5,$H12&lt;='Settings and Scoring Rules'!$B$6*1.5),0.5,0)))</f>
        <v>1</v>
      </c>
      <c r="P12" s="19">
        <f>IF($A12="","",IFERROR(VLOOKUP($F12,'Settings and Scoring Rules'!$A$31:$B$33,2,FALSE),0))</f>
        <v>1</v>
      </c>
      <c r="Q12" s="18">
        <f>IF($A12="","",IFERROR(INDEX('Intermediary Directory'!$H$4:$H$28,MATCH($D12,'Intermediary Directory'!$A$4:$A$28,0)),1))</f>
        <v>4</v>
      </c>
      <c r="R12" s="19">
        <f>IF($A12="","",ROUND(100*('Settings and Scoring Rules'!$B$11*M12+'Settings and Scoring Rules'!$B$12*($I12-1)/4+'Settings and Scoring Rules'!$B$13*O12+'Settings and Scoring Rules'!$B$14*P12+'Settings and Scoring Rules'!$B$15*(Q12-1)/4),1))</f>
        <v>61.5</v>
      </c>
      <c r="S12" s="21">
        <f t="shared" si="0"/>
        <v>61.500098800000004</v>
      </c>
      <c r="T12" s="18">
        <f t="shared" si="1"/>
        <v>5</v>
      </c>
      <c r="U12" s="18">
        <f>IF(OR($A12="",$J12=""),"",'Settings and Scoring Rules'!$B$4-$J12)</f>
        <v>14</v>
      </c>
      <c r="V12" s="18">
        <f>IF(OR($A12="",N12&lt;&gt;1,$L12=""),"",MAX(0,'Settings and Scoring Rules'!$B$4-$L12))</f>
        <v>0</v>
      </c>
      <c r="W12" s="8" t="str">
        <f>IF($A12="","",IF(N12&lt;&gt;1,"Inactive - "&amp;$G12,IF($L12="","NO NEXT ACTION",IF(V12&gt;0,"OVERDUE "&amp;V12&amp;"d",IF($L12-'Settings and Scoring Rules'!$B$4&lt;='Settings and Scoring Rules'!$B$7,"DUE IN "&amp;($L12-'Settings and Scoring Rules'!$B$4)&amp;"d",IF(N(U12)&gt;'Settings and Scoring Rules'!$B$8,"STALE","On track"))))))</f>
        <v>On track</v>
      </c>
      <c r="X12" s="22">
        <f t="shared" si="2"/>
        <v>0.27500000000000002</v>
      </c>
    </row>
    <row r="13" spans="1:24" ht="29" x14ac:dyDescent="0.35">
      <c r="A13" s="17" t="s">
        <v>242</v>
      </c>
      <c r="B13" s="17" t="s">
        <v>243</v>
      </c>
      <c r="C13" s="17" t="s">
        <v>143</v>
      </c>
      <c r="D13" s="17" t="s">
        <v>176</v>
      </c>
      <c r="E13" s="8" t="str">
        <f>IF($D13="","",IFERROR(INDEX('Intermediary Directory'!$B$4:$B$28,MATCH($D13,'Intermediary Directory'!$A$4:$A$28,0)),"UNKNOWN ID"))</f>
        <v>Attorney G</v>
      </c>
      <c r="F13" s="17" t="s">
        <v>111</v>
      </c>
      <c r="G13" s="17" t="s">
        <v>99</v>
      </c>
      <c r="H13" s="10">
        <v>12.5</v>
      </c>
      <c r="I13" s="11">
        <v>4</v>
      </c>
      <c r="J13" s="9">
        <v>46291</v>
      </c>
      <c r="K13" s="17" t="s">
        <v>244</v>
      </c>
      <c r="L13" s="9">
        <v>46304</v>
      </c>
      <c r="M13" s="20">
        <f>IF($A13="","",IFERROR(VLOOKUP($G13,'Settings and Scoring Rules'!$A$19:$D$28,3,FALSE),0))</f>
        <v>0.35</v>
      </c>
      <c r="N13" s="18">
        <f>IF($A13="","",IFERROR(VLOOKUP($G13,'Settings and Scoring Rules'!$A$19:$D$28,4,FALSE),0))</f>
        <v>1</v>
      </c>
      <c r="O13" s="19">
        <f>IF($A13="","",IF(AND($H13&gt;='Settings and Scoring Rules'!$B$5,$H13&lt;='Settings and Scoring Rules'!$B$6),1,IF(AND($H13&gt;='Settings and Scoring Rules'!$B$5*0.5,$H13&lt;='Settings and Scoring Rules'!$B$6*1.5),0.5,0)))</f>
        <v>1</v>
      </c>
      <c r="P13" s="19">
        <f>IF($A13="","",IFERROR(VLOOKUP($F13,'Settings and Scoring Rules'!$A$31:$B$33,2,FALSE),0))</f>
        <v>0.6</v>
      </c>
      <c r="Q13" s="18">
        <f>IF($A13="","",IFERROR(INDEX('Intermediary Directory'!$H$4:$H$28,MATCH($D13,'Intermediary Directory'!$A$4:$A$28,0)),1))</f>
        <v>3</v>
      </c>
      <c r="R13" s="19">
        <f>IF($A13="","",ROUND(100*('Settings and Scoring Rules'!$B$11*M13+'Settings and Scoring Rules'!$B$12*($I13-1)/4+'Settings and Scoring Rules'!$B$13*O13+'Settings and Scoring Rules'!$B$14*P13+'Settings and Scoring Rules'!$B$15*(Q13-1)/4),1))</f>
        <v>62</v>
      </c>
      <c r="S13" s="21">
        <f t="shared" si="0"/>
        <v>62.000098700000002</v>
      </c>
      <c r="T13" s="18">
        <f t="shared" si="1"/>
        <v>4</v>
      </c>
      <c r="U13" s="18">
        <f>IF(OR($A13="",$J13=""),"",'Settings and Scoring Rules'!$B$4-$J13)</f>
        <v>8</v>
      </c>
      <c r="V13" s="18">
        <f>IF(OR($A13="",N13&lt;&gt;1,$L13=""),"",MAX(0,'Settings and Scoring Rules'!$B$4-$L13))</f>
        <v>0</v>
      </c>
      <c r="W13" s="8" t="str">
        <f>IF($A13="","",IF(N13&lt;&gt;1,"Inactive - "&amp;$G13,IF($L13="","NO NEXT ACTION",IF(V13&gt;0,"OVERDUE "&amp;V13&amp;"d",IF($L13-'Settings and Scoring Rules'!$B$4&lt;='Settings and Scoring Rules'!$B$7,"DUE IN "&amp;($L13-'Settings and Scoring Rules'!$B$4)&amp;"d",IF(N(U13)&gt;'Settings and Scoring Rules'!$B$8,"STALE","On track"))))))</f>
        <v>DUE IN 5d</v>
      </c>
      <c r="X13" s="22">
        <f t="shared" si="2"/>
        <v>4.375</v>
      </c>
    </row>
    <row r="14" spans="1:24" x14ac:dyDescent="0.35">
      <c r="A14" s="17" t="s">
        <v>245</v>
      </c>
      <c r="B14" s="17" t="s">
        <v>246</v>
      </c>
      <c r="C14" s="17" t="s">
        <v>161</v>
      </c>
      <c r="D14" s="17" t="s">
        <v>158</v>
      </c>
      <c r="E14" s="8" t="str">
        <f>IF($D14="","",IFERROR(INDEX('Intermediary Directory'!$B$4:$B$28,MATCH($D14,'Intermediary Directory'!$A$4:$A$28,0)),"UNKNOWN ID"))</f>
        <v>Broker D</v>
      </c>
      <c r="F14" s="17" t="s">
        <v>113</v>
      </c>
      <c r="G14" s="17" t="s">
        <v>105</v>
      </c>
      <c r="H14" s="10">
        <v>8</v>
      </c>
      <c r="I14" s="11">
        <v>3</v>
      </c>
      <c r="J14" s="9">
        <v>46270</v>
      </c>
      <c r="K14" s="17" t="s">
        <v>247</v>
      </c>
      <c r="L14" s="9"/>
      <c r="M14" s="20">
        <f>IF($A14="","",IFERROR(VLOOKUP($G14,'Settings and Scoring Rules'!$A$19:$D$28,3,FALSE),0))</f>
        <v>0</v>
      </c>
      <c r="N14" s="18">
        <f>IF($A14="","",IFERROR(VLOOKUP($G14,'Settings and Scoring Rules'!$A$19:$D$28,4,FALSE),0))</f>
        <v>0</v>
      </c>
      <c r="O14" s="19">
        <f>IF($A14="","",IF(AND($H14&gt;='Settings and Scoring Rules'!$B$5,$H14&lt;='Settings and Scoring Rules'!$B$6),1,IF(AND($H14&gt;='Settings and Scoring Rules'!$B$5*0.5,$H14&lt;='Settings and Scoring Rules'!$B$6*1.5),0.5,0)))</f>
        <v>1</v>
      </c>
      <c r="P14" s="19">
        <f>IF($A14="","",IFERROR(VLOOKUP($F14,'Settings and Scoring Rules'!$A$31:$B$33,2,FALSE),0))</f>
        <v>0.2</v>
      </c>
      <c r="Q14" s="18">
        <f>IF($A14="","",IFERROR(INDEX('Intermediary Directory'!$H$4:$H$28,MATCH($D14,'Intermediary Directory'!$A$4:$A$28,0)),1))</f>
        <v>4</v>
      </c>
      <c r="R14" s="19">
        <f>IF($A14="","",ROUND(100*('Settings and Scoring Rules'!$B$11*M14+'Settings and Scoring Rules'!$B$12*($I14-1)/4+'Settings and Scoring Rules'!$B$13*O14+'Settings and Scoring Rules'!$B$14*P14+'Settings and Scoring Rules'!$B$15*(Q14-1)/4),1))</f>
        <v>40.5</v>
      </c>
      <c r="S14" s="21" t="str">
        <f t="shared" si="0"/>
        <v/>
      </c>
      <c r="T14" s="18" t="str">
        <f t="shared" si="1"/>
        <v/>
      </c>
      <c r="U14" s="18">
        <f>IF(OR($A14="",$J14=""),"",'Settings and Scoring Rules'!$B$4-$J14)</f>
        <v>29</v>
      </c>
      <c r="V14" s="18" t="str">
        <f>IF(OR($A14="",N14&lt;&gt;1,$L14=""),"",MAX(0,'Settings and Scoring Rules'!$B$4-$L14))</f>
        <v/>
      </c>
      <c r="W14" s="8" t="str">
        <f>IF($A14="","",IF(N14&lt;&gt;1,"Inactive - "&amp;$G14,IF($L14="","NO NEXT ACTION",IF(V14&gt;0,"OVERDUE "&amp;V14&amp;"d",IF($L14-'Settings and Scoring Rules'!$B$4&lt;='Settings and Scoring Rules'!$B$7,"DUE IN "&amp;($L14-'Settings and Scoring Rules'!$B$4)&amp;"d",IF(N(U14)&gt;'Settings and Scoring Rules'!$B$8,"STALE","On track"))))))</f>
        <v>Inactive - Lost</v>
      </c>
      <c r="X14" s="22">
        <f t="shared" si="2"/>
        <v>0</v>
      </c>
    </row>
    <row r="15" spans="1:24" x14ac:dyDescent="0.35">
      <c r="A15" s="17" t="s">
        <v>248</v>
      </c>
      <c r="B15" s="17" t="s">
        <v>249</v>
      </c>
      <c r="C15" s="17" t="s">
        <v>156</v>
      </c>
      <c r="D15" s="17" t="s">
        <v>151</v>
      </c>
      <c r="E15" s="8" t="str">
        <f>IF($D15="","",IFERROR(INDEX('Intermediary Directory'!$B$4:$B$28,MATCH($D15,'Intermediary Directory'!$A$4:$A$28,0)),"UNKNOWN ID"))</f>
        <v>Broker C</v>
      </c>
      <c r="F15" s="17" t="s">
        <v>111</v>
      </c>
      <c r="G15" s="17" t="s">
        <v>97</v>
      </c>
      <c r="H15" s="10">
        <v>6</v>
      </c>
      <c r="I15" s="11">
        <v>3</v>
      </c>
      <c r="J15" s="9">
        <v>46294</v>
      </c>
      <c r="K15" s="17" t="s">
        <v>250</v>
      </c>
      <c r="L15" s="9">
        <v>46309</v>
      </c>
      <c r="M15" s="20">
        <f>IF($A15="","",IFERROR(VLOOKUP($G15,'Settings and Scoring Rules'!$A$19:$D$28,3,FALSE),0))</f>
        <v>0.1</v>
      </c>
      <c r="N15" s="18">
        <f>IF($A15="","",IFERROR(VLOOKUP($G15,'Settings and Scoring Rules'!$A$19:$D$28,4,FALSE),0))</f>
        <v>1</v>
      </c>
      <c r="O15" s="19">
        <f>IF($A15="","",IF(AND($H15&gt;='Settings and Scoring Rules'!$B$5,$H15&lt;='Settings and Scoring Rules'!$B$6),1,IF(AND($H15&gt;='Settings and Scoring Rules'!$B$5*0.5,$H15&lt;='Settings and Scoring Rules'!$B$6*1.5),0.5,0)))</f>
        <v>1</v>
      </c>
      <c r="P15" s="19">
        <f>IF($A15="","",IFERROR(VLOOKUP($F15,'Settings and Scoring Rules'!$A$31:$B$33,2,FALSE),0))</f>
        <v>0.6</v>
      </c>
      <c r="Q15" s="18">
        <f>IF($A15="","",IFERROR(INDEX('Intermediary Directory'!$H$4:$H$28,MATCH($D15,'Intermediary Directory'!$A$4:$A$28,0)),1))</f>
        <v>3</v>
      </c>
      <c r="R15" s="19">
        <f>IF($A15="","",ROUND(100*('Settings and Scoring Rules'!$B$11*M15+'Settings and Scoring Rules'!$B$12*($I15-1)/4+'Settings and Scoring Rules'!$B$13*O15+'Settings and Scoring Rules'!$B$14*P15+'Settings and Scoring Rules'!$B$15*(Q15-1)/4),1))</f>
        <v>47</v>
      </c>
      <c r="S15" s="21">
        <f t="shared" si="0"/>
        <v>47.0000985</v>
      </c>
      <c r="T15" s="18">
        <f t="shared" si="1"/>
        <v>9</v>
      </c>
      <c r="U15" s="18">
        <f>IF(OR($A15="",$J15=""),"",'Settings and Scoring Rules'!$B$4-$J15)</f>
        <v>5</v>
      </c>
      <c r="V15" s="18">
        <f>IF(OR($A15="",N15&lt;&gt;1,$L15=""),"",MAX(0,'Settings and Scoring Rules'!$B$4-$L15))</f>
        <v>0</v>
      </c>
      <c r="W15" s="8" t="str">
        <f>IF($A15="","",IF(N15&lt;&gt;1,"Inactive - "&amp;$G15,IF($L15="","NO NEXT ACTION",IF(V15&gt;0,"OVERDUE "&amp;V15&amp;"d",IF($L15-'Settings and Scoring Rules'!$B$4&lt;='Settings and Scoring Rules'!$B$7,"DUE IN "&amp;($L15-'Settings and Scoring Rules'!$B$4)&amp;"d",IF(N(U15)&gt;'Settings and Scoring Rules'!$B$8,"STALE","On track"))))))</f>
        <v>On track</v>
      </c>
      <c r="X15" s="22">
        <f t="shared" si="2"/>
        <v>0.60000000000000009</v>
      </c>
    </row>
    <row r="16" spans="1:24" x14ac:dyDescent="0.35">
      <c r="A16" s="17"/>
      <c r="B16" s="17"/>
      <c r="C16" s="17"/>
      <c r="D16" s="17"/>
      <c r="E16" s="8" t="str">
        <f>IF($D16="","",IFERROR(INDEX('Intermediary Directory'!$B$4:$B$28,MATCH($D16,'Intermediary Directory'!$A$4:$A$28,0)),"UNKNOWN ID"))</f>
        <v/>
      </c>
      <c r="F16" s="17"/>
      <c r="G16" s="17"/>
      <c r="H16" s="10"/>
      <c r="I16" s="11"/>
      <c r="J16" s="9"/>
      <c r="K16" s="17"/>
      <c r="L16" s="9"/>
      <c r="M16" s="20" t="str">
        <f>IF($A16="","",IFERROR(VLOOKUP($G16,'Settings and Scoring Rules'!$A$19:$D$28,3,FALSE),0))</f>
        <v/>
      </c>
      <c r="N16" s="18" t="str">
        <f>IF($A16="","",IFERROR(VLOOKUP($G16,'Settings and Scoring Rules'!$A$19:$D$28,4,FALSE),0))</f>
        <v/>
      </c>
      <c r="O16" s="19" t="str">
        <f>IF($A16="","",IF(AND($H16&gt;='Settings and Scoring Rules'!$B$5,$H16&lt;='Settings and Scoring Rules'!$B$6),1,IF(AND($H16&gt;='Settings and Scoring Rules'!$B$5*0.5,$H16&lt;='Settings and Scoring Rules'!$B$6*1.5),0.5,0)))</f>
        <v/>
      </c>
      <c r="P16" s="19" t="str">
        <f>IF($A16="","",IFERROR(VLOOKUP($F16,'Settings and Scoring Rules'!$A$31:$B$33,2,FALSE),0))</f>
        <v/>
      </c>
      <c r="Q16" s="18" t="str">
        <f>IF($A16="","",IFERROR(INDEX('Intermediary Directory'!$H$4:$H$28,MATCH($D16,'Intermediary Directory'!$A$4:$A$28,0)),1))</f>
        <v/>
      </c>
      <c r="R16" s="19" t="str">
        <f>IF($A16="","",ROUND(100*('Settings and Scoring Rules'!$B$11*M16+'Settings and Scoring Rules'!$B$12*($I16-1)/4+'Settings and Scoring Rules'!$B$13*O16+'Settings and Scoring Rules'!$B$14*P16+'Settings and Scoring Rules'!$B$15*(Q16-1)/4),1))</f>
        <v/>
      </c>
      <c r="S16" s="21" t="str">
        <f t="shared" si="0"/>
        <v/>
      </c>
      <c r="T16" s="18" t="str">
        <f t="shared" si="1"/>
        <v/>
      </c>
      <c r="U16" s="18" t="str">
        <f>IF(OR($A16="",$J16=""),"",'Settings and Scoring Rules'!$B$4-$J16)</f>
        <v/>
      </c>
      <c r="V16" s="18" t="str">
        <f>IF(OR($A16="",N16&lt;&gt;1,$L16=""),"",MAX(0,'Settings and Scoring Rules'!$B$4-$L16))</f>
        <v/>
      </c>
      <c r="W16" s="8" t="str">
        <f>IF($A16="","",IF(N16&lt;&gt;1,"Inactive - "&amp;$G16,IF($L16="","NO NEXT ACTION",IF(V16&gt;0,"OVERDUE "&amp;V16&amp;"d",IF($L16-'Settings and Scoring Rules'!$B$4&lt;='Settings and Scoring Rules'!$B$7,"DUE IN "&amp;($L16-'Settings and Scoring Rules'!$B$4)&amp;"d",IF(N(U16)&gt;'Settings and Scoring Rules'!$B$8,"STALE","On track"))))))</f>
        <v/>
      </c>
      <c r="X16" s="22" t="str">
        <f t="shared" si="2"/>
        <v/>
      </c>
    </row>
    <row r="17" spans="1:24" x14ac:dyDescent="0.35">
      <c r="A17" s="17"/>
      <c r="B17" s="17"/>
      <c r="C17" s="17"/>
      <c r="D17" s="17"/>
      <c r="E17" s="8" t="str">
        <f>IF($D17="","",IFERROR(INDEX('Intermediary Directory'!$B$4:$B$28,MATCH($D17,'Intermediary Directory'!$A$4:$A$28,0)),"UNKNOWN ID"))</f>
        <v/>
      </c>
      <c r="F17" s="17"/>
      <c r="G17" s="17"/>
      <c r="H17" s="10"/>
      <c r="I17" s="11"/>
      <c r="J17" s="9"/>
      <c r="K17" s="17"/>
      <c r="L17" s="9"/>
      <c r="M17" s="20" t="str">
        <f>IF($A17="","",IFERROR(VLOOKUP($G17,'Settings and Scoring Rules'!$A$19:$D$28,3,FALSE),0))</f>
        <v/>
      </c>
      <c r="N17" s="18" t="str">
        <f>IF($A17="","",IFERROR(VLOOKUP($G17,'Settings and Scoring Rules'!$A$19:$D$28,4,FALSE),0))</f>
        <v/>
      </c>
      <c r="O17" s="19" t="str">
        <f>IF($A17="","",IF(AND($H17&gt;='Settings and Scoring Rules'!$B$5,$H17&lt;='Settings and Scoring Rules'!$B$6),1,IF(AND($H17&gt;='Settings and Scoring Rules'!$B$5*0.5,$H17&lt;='Settings and Scoring Rules'!$B$6*1.5),0.5,0)))</f>
        <v/>
      </c>
      <c r="P17" s="19" t="str">
        <f>IF($A17="","",IFERROR(VLOOKUP($F17,'Settings and Scoring Rules'!$A$31:$B$33,2,FALSE),0))</f>
        <v/>
      </c>
      <c r="Q17" s="18" t="str">
        <f>IF($A17="","",IFERROR(INDEX('Intermediary Directory'!$H$4:$H$28,MATCH($D17,'Intermediary Directory'!$A$4:$A$28,0)),1))</f>
        <v/>
      </c>
      <c r="R17" s="19" t="str">
        <f>IF($A17="","",ROUND(100*('Settings and Scoring Rules'!$B$11*M17+'Settings and Scoring Rules'!$B$12*($I17-1)/4+'Settings and Scoring Rules'!$B$13*O17+'Settings and Scoring Rules'!$B$14*P17+'Settings and Scoring Rules'!$B$15*(Q17-1)/4),1))</f>
        <v/>
      </c>
      <c r="S17" s="21" t="str">
        <f t="shared" si="0"/>
        <v/>
      </c>
      <c r="T17" s="18" t="str">
        <f t="shared" si="1"/>
        <v/>
      </c>
      <c r="U17" s="18" t="str">
        <f>IF(OR($A17="",$J17=""),"",'Settings and Scoring Rules'!$B$4-$J17)</f>
        <v/>
      </c>
      <c r="V17" s="18" t="str">
        <f>IF(OR($A17="",N17&lt;&gt;1,$L17=""),"",MAX(0,'Settings and Scoring Rules'!$B$4-$L17))</f>
        <v/>
      </c>
      <c r="W17" s="8" t="str">
        <f>IF($A17="","",IF(N17&lt;&gt;1,"Inactive - "&amp;$G17,IF($L17="","NO NEXT ACTION",IF(V17&gt;0,"OVERDUE "&amp;V17&amp;"d",IF($L17-'Settings and Scoring Rules'!$B$4&lt;='Settings and Scoring Rules'!$B$7,"DUE IN "&amp;($L17-'Settings and Scoring Rules'!$B$4)&amp;"d",IF(N(U17)&gt;'Settings and Scoring Rules'!$B$8,"STALE","On track"))))))</f>
        <v/>
      </c>
      <c r="X17" s="22" t="str">
        <f t="shared" si="2"/>
        <v/>
      </c>
    </row>
    <row r="18" spans="1:24" x14ac:dyDescent="0.35">
      <c r="A18" s="17"/>
      <c r="B18" s="17"/>
      <c r="C18" s="17"/>
      <c r="D18" s="17"/>
      <c r="E18" s="8" t="str">
        <f>IF($D18="","",IFERROR(INDEX('Intermediary Directory'!$B$4:$B$28,MATCH($D18,'Intermediary Directory'!$A$4:$A$28,0)),"UNKNOWN ID"))</f>
        <v/>
      </c>
      <c r="F18" s="17"/>
      <c r="G18" s="17"/>
      <c r="H18" s="10"/>
      <c r="I18" s="11"/>
      <c r="J18" s="9"/>
      <c r="K18" s="17"/>
      <c r="L18" s="9"/>
      <c r="M18" s="20" t="str">
        <f>IF($A18="","",IFERROR(VLOOKUP($G18,'Settings and Scoring Rules'!$A$19:$D$28,3,FALSE),0))</f>
        <v/>
      </c>
      <c r="N18" s="18" t="str">
        <f>IF($A18="","",IFERROR(VLOOKUP($G18,'Settings and Scoring Rules'!$A$19:$D$28,4,FALSE),0))</f>
        <v/>
      </c>
      <c r="O18" s="19" t="str">
        <f>IF($A18="","",IF(AND($H18&gt;='Settings and Scoring Rules'!$B$5,$H18&lt;='Settings and Scoring Rules'!$B$6),1,IF(AND($H18&gt;='Settings and Scoring Rules'!$B$5*0.5,$H18&lt;='Settings and Scoring Rules'!$B$6*1.5),0.5,0)))</f>
        <v/>
      </c>
      <c r="P18" s="19" t="str">
        <f>IF($A18="","",IFERROR(VLOOKUP($F18,'Settings and Scoring Rules'!$A$31:$B$33,2,FALSE),0))</f>
        <v/>
      </c>
      <c r="Q18" s="18" t="str">
        <f>IF($A18="","",IFERROR(INDEX('Intermediary Directory'!$H$4:$H$28,MATCH($D18,'Intermediary Directory'!$A$4:$A$28,0)),1))</f>
        <v/>
      </c>
      <c r="R18" s="19" t="str">
        <f>IF($A18="","",ROUND(100*('Settings and Scoring Rules'!$B$11*M18+'Settings and Scoring Rules'!$B$12*($I18-1)/4+'Settings and Scoring Rules'!$B$13*O18+'Settings and Scoring Rules'!$B$14*P18+'Settings and Scoring Rules'!$B$15*(Q18-1)/4),1))</f>
        <v/>
      </c>
      <c r="S18" s="21" t="str">
        <f t="shared" si="0"/>
        <v/>
      </c>
      <c r="T18" s="18" t="str">
        <f t="shared" si="1"/>
        <v/>
      </c>
      <c r="U18" s="18" t="str">
        <f>IF(OR($A18="",$J18=""),"",'Settings and Scoring Rules'!$B$4-$J18)</f>
        <v/>
      </c>
      <c r="V18" s="18" t="str">
        <f>IF(OR($A18="",N18&lt;&gt;1,$L18=""),"",MAX(0,'Settings and Scoring Rules'!$B$4-$L18))</f>
        <v/>
      </c>
      <c r="W18" s="8" t="str">
        <f>IF($A18="","",IF(N18&lt;&gt;1,"Inactive - "&amp;$G18,IF($L18="","NO NEXT ACTION",IF(V18&gt;0,"OVERDUE "&amp;V18&amp;"d",IF($L18-'Settings and Scoring Rules'!$B$4&lt;='Settings and Scoring Rules'!$B$7,"DUE IN "&amp;($L18-'Settings and Scoring Rules'!$B$4)&amp;"d",IF(N(U18)&gt;'Settings and Scoring Rules'!$B$8,"STALE","On track"))))))</f>
        <v/>
      </c>
      <c r="X18" s="22" t="str">
        <f t="shared" si="2"/>
        <v/>
      </c>
    </row>
    <row r="19" spans="1:24" x14ac:dyDescent="0.35">
      <c r="A19" s="17"/>
      <c r="B19" s="17"/>
      <c r="C19" s="17"/>
      <c r="D19" s="17"/>
      <c r="E19" s="8" t="str">
        <f>IF($D19="","",IFERROR(INDEX('Intermediary Directory'!$B$4:$B$28,MATCH($D19,'Intermediary Directory'!$A$4:$A$28,0)),"UNKNOWN ID"))</f>
        <v/>
      </c>
      <c r="F19" s="17"/>
      <c r="G19" s="17"/>
      <c r="H19" s="10"/>
      <c r="I19" s="11"/>
      <c r="J19" s="9"/>
      <c r="K19" s="17"/>
      <c r="L19" s="9"/>
      <c r="M19" s="20" t="str">
        <f>IF($A19="","",IFERROR(VLOOKUP($G19,'Settings and Scoring Rules'!$A$19:$D$28,3,FALSE),0))</f>
        <v/>
      </c>
      <c r="N19" s="18" t="str">
        <f>IF($A19="","",IFERROR(VLOOKUP($G19,'Settings and Scoring Rules'!$A$19:$D$28,4,FALSE),0))</f>
        <v/>
      </c>
      <c r="O19" s="19" t="str">
        <f>IF($A19="","",IF(AND($H19&gt;='Settings and Scoring Rules'!$B$5,$H19&lt;='Settings and Scoring Rules'!$B$6),1,IF(AND($H19&gt;='Settings and Scoring Rules'!$B$5*0.5,$H19&lt;='Settings and Scoring Rules'!$B$6*1.5),0.5,0)))</f>
        <v/>
      </c>
      <c r="P19" s="19" t="str">
        <f>IF($A19="","",IFERROR(VLOOKUP($F19,'Settings and Scoring Rules'!$A$31:$B$33,2,FALSE),0))</f>
        <v/>
      </c>
      <c r="Q19" s="18" t="str">
        <f>IF($A19="","",IFERROR(INDEX('Intermediary Directory'!$H$4:$H$28,MATCH($D19,'Intermediary Directory'!$A$4:$A$28,0)),1))</f>
        <v/>
      </c>
      <c r="R19" s="19" t="str">
        <f>IF($A19="","",ROUND(100*('Settings and Scoring Rules'!$B$11*M19+'Settings and Scoring Rules'!$B$12*($I19-1)/4+'Settings and Scoring Rules'!$B$13*O19+'Settings and Scoring Rules'!$B$14*P19+'Settings and Scoring Rules'!$B$15*(Q19-1)/4),1))</f>
        <v/>
      </c>
      <c r="S19" s="21" t="str">
        <f t="shared" si="0"/>
        <v/>
      </c>
      <c r="T19" s="18" t="str">
        <f t="shared" si="1"/>
        <v/>
      </c>
      <c r="U19" s="18" t="str">
        <f>IF(OR($A19="",$J19=""),"",'Settings and Scoring Rules'!$B$4-$J19)</f>
        <v/>
      </c>
      <c r="V19" s="18" t="str">
        <f>IF(OR($A19="",N19&lt;&gt;1,$L19=""),"",MAX(0,'Settings and Scoring Rules'!$B$4-$L19))</f>
        <v/>
      </c>
      <c r="W19" s="8" t="str">
        <f>IF($A19="","",IF(N19&lt;&gt;1,"Inactive - "&amp;$G19,IF($L19="","NO NEXT ACTION",IF(V19&gt;0,"OVERDUE "&amp;V19&amp;"d",IF($L19-'Settings and Scoring Rules'!$B$4&lt;='Settings and Scoring Rules'!$B$7,"DUE IN "&amp;($L19-'Settings and Scoring Rules'!$B$4)&amp;"d",IF(N(U19)&gt;'Settings and Scoring Rules'!$B$8,"STALE","On track"))))))</f>
        <v/>
      </c>
      <c r="X19" s="22" t="str">
        <f t="shared" si="2"/>
        <v/>
      </c>
    </row>
    <row r="20" spans="1:24" x14ac:dyDescent="0.35">
      <c r="A20" s="17"/>
      <c r="B20" s="17"/>
      <c r="C20" s="17"/>
      <c r="D20" s="17"/>
      <c r="E20" s="8" t="str">
        <f>IF($D20="","",IFERROR(INDEX('Intermediary Directory'!$B$4:$B$28,MATCH($D20,'Intermediary Directory'!$A$4:$A$28,0)),"UNKNOWN ID"))</f>
        <v/>
      </c>
      <c r="F20" s="17"/>
      <c r="G20" s="17"/>
      <c r="H20" s="10"/>
      <c r="I20" s="11"/>
      <c r="J20" s="9"/>
      <c r="K20" s="17"/>
      <c r="L20" s="9"/>
      <c r="M20" s="20" t="str">
        <f>IF($A20="","",IFERROR(VLOOKUP($G20,'Settings and Scoring Rules'!$A$19:$D$28,3,FALSE),0))</f>
        <v/>
      </c>
      <c r="N20" s="18" t="str">
        <f>IF($A20="","",IFERROR(VLOOKUP($G20,'Settings and Scoring Rules'!$A$19:$D$28,4,FALSE),0))</f>
        <v/>
      </c>
      <c r="O20" s="19" t="str">
        <f>IF($A20="","",IF(AND($H20&gt;='Settings and Scoring Rules'!$B$5,$H20&lt;='Settings and Scoring Rules'!$B$6),1,IF(AND($H20&gt;='Settings and Scoring Rules'!$B$5*0.5,$H20&lt;='Settings and Scoring Rules'!$B$6*1.5),0.5,0)))</f>
        <v/>
      </c>
      <c r="P20" s="19" t="str">
        <f>IF($A20="","",IFERROR(VLOOKUP($F20,'Settings and Scoring Rules'!$A$31:$B$33,2,FALSE),0))</f>
        <v/>
      </c>
      <c r="Q20" s="18" t="str">
        <f>IF($A20="","",IFERROR(INDEX('Intermediary Directory'!$H$4:$H$28,MATCH($D20,'Intermediary Directory'!$A$4:$A$28,0)),1))</f>
        <v/>
      </c>
      <c r="R20" s="19" t="str">
        <f>IF($A20="","",ROUND(100*('Settings and Scoring Rules'!$B$11*M20+'Settings and Scoring Rules'!$B$12*($I20-1)/4+'Settings and Scoring Rules'!$B$13*O20+'Settings and Scoring Rules'!$B$14*P20+'Settings and Scoring Rules'!$B$15*(Q20-1)/4),1))</f>
        <v/>
      </c>
      <c r="S20" s="21" t="str">
        <f t="shared" si="0"/>
        <v/>
      </c>
      <c r="T20" s="18" t="str">
        <f t="shared" si="1"/>
        <v/>
      </c>
      <c r="U20" s="18" t="str">
        <f>IF(OR($A20="",$J20=""),"",'Settings and Scoring Rules'!$B$4-$J20)</f>
        <v/>
      </c>
      <c r="V20" s="18" t="str">
        <f>IF(OR($A20="",N20&lt;&gt;1,$L20=""),"",MAX(0,'Settings and Scoring Rules'!$B$4-$L20))</f>
        <v/>
      </c>
      <c r="W20" s="8" t="str">
        <f>IF($A20="","",IF(N20&lt;&gt;1,"Inactive - "&amp;$G20,IF($L20="","NO NEXT ACTION",IF(V20&gt;0,"OVERDUE "&amp;V20&amp;"d",IF($L20-'Settings and Scoring Rules'!$B$4&lt;='Settings and Scoring Rules'!$B$7,"DUE IN "&amp;($L20-'Settings and Scoring Rules'!$B$4)&amp;"d",IF(N(U20)&gt;'Settings and Scoring Rules'!$B$8,"STALE","On track"))))))</f>
        <v/>
      </c>
      <c r="X20" s="22" t="str">
        <f t="shared" si="2"/>
        <v/>
      </c>
    </row>
    <row r="21" spans="1:24" x14ac:dyDescent="0.35">
      <c r="A21" s="17"/>
      <c r="B21" s="17"/>
      <c r="C21" s="17"/>
      <c r="D21" s="17"/>
      <c r="E21" s="8" t="str">
        <f>IF($D21="","",IFERROR(INDEX('Intermediary Directory'!$B$4:$B$28,MATCH($D21,'Intermediary Directory'!$A$4:$A$28,0)),"UNKNOWN ID"))</f>
        <v/>
      </c>
      <c r="F21" s="17"/>
      <c r="G21" s="17"/>
      <c r="H21" s="10"/>
      <c r="I21" s="11"/>
      <c r="J21" s="9"/>
      <c r="K21" s="17"/>
      <c r="L21" s="9"/>
      <c r="M21" s="20" t="str">
        <f>IF($A21="","",IFERROR(VLOOKUP($G21,'Settings and Scoring Rules'!$A$19:$D$28,3,FALSE),0))</f>
        <v/>
      </c>
      <c r="N21" s="18" t="str">
        <f>IF($A21="","",IFERROR(VLOOKUP($G21,'Settings and Scoring Rules'!$A$19:$D$28,4,FALSE),0))</f>
        <v/>
      </c>
      <c r="O21" s="19" t="str">
        <f>IF($A21="","",IF(AND($H21&gt;='Settings and Scoring Rules'!$B$5,$H21&lt;='Settings and Scoring Rules'!$B$6),1,IF(AND($H21&gt;='Settings and Scoring Rules'!$B$5*0.5,$H21&lt;='Settings and Scoring Rules'!$B$6*1.5),0.5,0)))</f>
        <v/>
      </c>
      <c r="P21" s="19" t="str">
        <f>IF($A21="","",IFERROR(VLOOKUP($F21,'Settings and Scoring Rules'!$A$31:$B$33,2,FALSE),0))</f>
        <v/>
      </c>
      <c r="Q21" s="18" t="str">
        <f>IF($A21="","",IFERROR(INDEX('Intermediary Directory'!$H$4:$H$28,MATCH($D21,'Intermediary Directory'!$A$4:$A$28,0)),1))</f>
        <v/>
      </c>
      <c r="R21" s="19" t="str">
        <f>IF($A21="","",ROUND(100*('Settings and Scoring Rules'!$B$11*M21+'Settings and Scoring Rules'!$B$12*($I21-1)/4+'Settings and Scoring Rules'!$B$13*O21+'Settings and Scoring Rules'!$B$14*P21+'Settings and Scoring Rules'!$B$15*(Q21-1)/4),1))</f>
        <v/>
      </c>
      <c r="S21" s="21" t="str">
        <f t="shared" si="0"/>
        <v/>
      </c>
      <c r="T21" s="18" t="str">
        <f t="shared" si="1"/>
        <v/>
      </c>
      <c r="U21" s="18" t="str">
        <f>IF(OR($A21="",$J21=""),"",'Settings and Scoring Rules'!$B$4-$J21)</f>
        <v/>
      </c>
      <c r="V21" s="18" t="str">
        <f>IF(OR($A21="",N21&lt;&gt;1,$L21=""),"",MAX(0,'Settings and Scoring Rules'!$B$4-$L21))</f>
        <v/>
      </c>
      <c r="W21" s="8" t="str">
        <f>IF($A21="","",IF(N21&lt;&gt;1,"Inactive - "&amp;$G21,IF($L21="","NO NEXT ACTION",IF(V21&gt;0,"OVERDUE "&amp;V21&amp;"d",IF($L21-'Settings and Scoring Rules'!$B$4&lt;='Settings and Scoring Rules'!$B$7,"DUE IN "&amp;($L21-'Settings and Scoring Rules'!$B$4)&amp;"d",IF(N(U21)&gt;'Settings and Scoring Rules'!$B$8,"STALE","On track"))))))</f>
        <v/>
      </c>
      <c r="X21" s="22" t="str">
        <f t="shared" si="2"/>
        <v/>
      </c>
    </row>
    <row r="22" spans="1:24" x14ac:dyDescent="0.35">
      <c r="A22" s="17"/>
      <c r="B22" s="17"/>
      <c r="C22" s="17"/>
      <c r="D22" s="17"/>
      <c r="E22" s="8" t="str">
        <f>IF($D22="","",IFERROR(INDEX('Intermediary Directory'!$B$4:$B$28,MATCH($D22,'Intermediary Directory'!$A$4:$A$28,0)),"UNKNOWN ID"))</f>
        <v/>
      </c>
      <c r="F22" s="17"/>
      <c r="G22" s="17"/>
      <c r="H22" s="10"/>
      <c r="I22" s="11"/>
      <c r="J22" s="9"/>
      <c r="K22" s="17"/>
      <c r="L22" s="9"/>
      <c r="M22" s="20" t="str">
        <f>IF($A22="","",IFERROR(VLOOKUP($G22,'Settings and Scoring Rules'!$A$19:$D$28,3,FALSE),0))</f>
        <v/>
      </c>
      <c r="N22" s="18" t="str">
        <f>IF($A22="","",IFERROR(VLOOKUP($G22,'Settings and Scoring Rules'!$A$19:$D$28,4,FALSE),0))</f>
        <v/>
      </c>
      <c r="O22" s="19" t="str">
        <f>IF($A22="","",IF(AND($H22&gt;='Settings and Scoring Rules'!$B$5,$H22&lt;='Settings and Scoring Rules'!$B$6),1,IF(AND($H22&gt;='Settings and Scoring Rules'!$B$5*0.5,$H22&lt;='Settings and Scoring Rules'!$B$6*1.5),0.5,0)))</f>
        <v/>
      </c>
      <c r="P22" s="19" t="str">
        <f>IF($A22="","",IFERROR(VLOOKUP($F22,'Settings and Scoring Rules'!$A$31:$B$33,2,FALSE),0))</f>
        <v/>
      </c>
      <c r="Q22" s="18" t="str">
        <f>IF($A22="","",IFERROR(INDEX('Intermediary Directory'!$H$4:$H$28,MATCH($D22,'Intermediary Directory'!$A$4:$A$28,0)),1))</f>
        <v/>
      </c>
      <c r="R22" s="19" t="str">
        <f>IF($A22="","",ROUND(100*('Settings and Scoring Rules'!$B$11*M22+'Settings and Scoring Rules'!$B$12*($I22-1)/4+'Settings and Scoring Rules'!$B$13*O22+'Settings and Scoring Rules'!$B$14*P22+'Settings and Scoring Rules'!$B$15*(Q22-1)/4),1))</f>
        <v/>
      </c>
      <c r="S22" s="21" t="str">
        <f t="shared" si="0"/>
        <v/>
      </c>
      <c r="T22" s="18" t="str">
        <f t="shared" si="1"/>
        <v/>
      </c>
      <c r="U22" s="18" t="str">
        <f>IF(OR($A22="",$J22=""),"",'Settings and Scoring Rules'!$B$4-$J22)</f>
        <v/>
      </c>
      <c r="V22" s="18" t="str">
        <f>IF(OR($A22="",N22&lt;&gt;1,$L22=""),"",MAX(0,'Settings and Scoring Rules'!$B$4-$L22))</f>
        <v/>
      </c>
      <c r="W22" s="8" t="str">
        <f>IF($A22="","",IF(N22&lt;&gt;1,"Inactive - "&amp;$G22,IF($L22="","NO NEXT ACTION",IF(V22&gt;0,"OVERDUE "&amp;V22&amp;"d",IF($L22-'Settings and Scoring Rules'!$B$4&lt;='Settings and Scoring Rules'!$B$7,"DUE IN "&amp;($L22-'Settings and Scoring Rules'!$B$4)&amp;"d",IF(N(U22)&gt;'Settings and Scoring Rules'!$B$8,"STALE","On track"))))))</f>
        <v/>
      </c>
      <c r="X22" s="22" t="str">
        <f t="shared" si="2"/>
        <v/>
      </c>
    </row>
    <row r="23" spans="1:24" x14ac:dyDescent="0.35">
      <c r="A23" s="17"/>
      <c r="B23" s="17"/>
      <c r="C23" s="17"/>
      <c r="D23" s="17"/>
      <c r="E23" s="8" t="str">
        <f>IF($D23="","",IFERROR(INDEX('Intermediary Directory'!$B$4:$B$28,MATCH($D23,'Intermediary Directory'!$A$4:$A$28,0)),"UNKNOWN ID"))</f>
        <v/>
      </c>
      <c r="F23" s="17"/>
      <c r="G23" s="17"/>
      <c r="H23" s="10"/>
      <c r="I23" s="11"/>
      <c r="J23" s="9"/>
      <c r="K23" s="17"/>
      <c r="L23" s="9"/>
      <c r="M23" s="20" t="str">
        <f>IF($A23="","",IFERROR(VLOOKUP($G23,'Settings and Scoring Rules'!$A$19:$D$28,3,FALSE),0))</f>
        <v/>
      </c>
      <c r="N23" s="18" t="str">
        <f>IF($A23="","",IFERROR(VLOOKUP($G23,'Settings and Scoring Rules'!$A$19:$D$28,4,FALSE),0))</f>
        <v/>
      </c>
      <c r="O23" s="19" t="str">
        <f>IF($A23="","",IF(AND($H23&gt;='Settings and Scoring Rules'!$B$5,$H23&lt;='Settings and Scoring Rules'!$B$6),1,IF(AND($H23&gt;='Settings and Scoring Rules'!$B$5*0.5,$H23&lt;='Settings and Scoring Rules'!$B$6*1.5),0.5,0)))</f>
        <v/>
      </c>
      <c r="P23" s="19" t="str">
        <f>IF($A23="","",IFERROR(VLOOKUP($F23,'Settings and Scoring Rules'!$A$31:$B$33,2,FALSE),0))</f>
        <v/>
      </c>
      <c r="Q23" s="18" t="str">
        <f>IF($A23="","",IFERROR(INDEX('Intermediary Directory'!$H$4:$H$28,MATCH($D23,'Intermediary Directory'!$A$4:$A$28,0)),1))</f>
        <v/>
      </c>
      <c r="R23" s="19" t="str">
        <f>IF($A23="","",ROUND(100*('Settings and Scoring Rules'!$B$11*M23+'Settings and Scoring Rules'!$B$12*($I23-1)/4+'Settings and Scoring Rules'!$B$13*O23+'Settings and Scoring Rules'!$B$14*P23+'Settings and Scoring Rules'!$B$15*(Q23-1)/4),1))</f>
        <v/>
      </c>
      <c r="S23" s="21" t="str">
        <f t="shared" si="0"/>
        <v/>
      </c>
      <c r="T23" s="18" t="str">
        <f t="shared" si="1"/>
        <v/>
      </c>
      <c r="U23" s="18" t="str">
        <f>IF(OR($A23="",$J23=""),"",'Settings and Scoring Rules'!$B$4-$J23)</f>
        <v/>
      </c>
      <c r="V23" s="18" t="str">
        <f>IF(OR($A23="",N23&lt;&gt;1,$L23=""),"",MAX(0,'Settings and Scoring Rules'!$B$4-$L23))</f>
        <v/>
      </c>
      <c r="W23" s="8" t="str">
        <f>IF($A23="","",IF(N23&lt;&gt;1,"Inactive - "&amp;$G23,IF($L23="","NO NEXT ACTION",IF(V23&gt;0,"OVERDUE "&amp;V23&amp;"d",IF($L23-'Settings and Scoring Rules'!$B$4&lt;='Settings and Scoring Rules'!$B$7,"DUE IN "&amp;($L23-'Settings and Scoring Rules'!$B$4)&amp;"d",IF(N(U23)&gt;'Settings and Scoring Rules'!$B$8,"STALE","On track"))))))</f>
        <v/>
      </c>
      <c r="X23" s="22" t="str">
        <f t="shared" si="2"/>
        <v/>
      </c>
    </row>
    <row r="24" spans="1:24" x14ac:dyDescent="0.35">
      <c r="A24" s="17"/>
      <c r="B24" s="17"/>
      <c r="C24" s="17"/>
      <c r="D24" s="17"/>
      <c r="E24" s="8" t="str">
        <f>IF($D24="","",IFERROR(INDEX('Intermediary Directory'!$B$4:$B$28,MATCH($D24,'Intermediary Directory'!$A$4:$A$28,0)),"UNKNOWN ID"))</f>
        <v/>
      </c>
      <c r="F24" s="17"/>
      <c r="G24" s="17"/>
      <c r="H24" s="10"/>
      <c r="I24" s="11"/>
      <c r="J24" s="9"/>
      <c r="K24" s="17"/>
      <c r="L24" s="9"/>
      <c r="M24" s="20" t="str">
        <f>IF($A24="","",IFERROR(VLOOKUP($G24,'Settings and Scoring Rules'!$A$19:$D$28,3,FALSE),0))</f>
        <v/>
      </c>
      <c r="N24" s="18" t="str">
        <f>IF($A24="","",IFERROR(VLOOKUP($G24,'Settings and Scoring Rules'!$A$19:$D$28,4,FALSE),0))</f>
        <v/>
      </c>
      <c r="O24" s="19" t="str">
        <f>IF($A24="","",IF(AND($H24&gt;='Settings and Scoring Rules'!$B$5,$H24&lt;='Settings and Scoring Rules'!$B$6),1,IF(AND($H24&gt;='Settings and Scoring Rules'!$B$5*0.5,$H24&lt;='Settings and Scoring Rules'!$B$6*1.5),0.5,0)))</f>
        <v/>
      </c>
      <c r="P24" s="19" t="str">
        <f>IF($A24="","",IFERROR(VLOOKUP($F24,'Settings and Scoring Rules'!$A$31:$B$33,2,FALSE),0))</f>
        <v/>
      </c>
      <c r="Q24" s="18" t="str">
        <f>IF($A24="","",IFERROR(INDEX('Intermediary Directory'!$H$4:$H$28,MATCH($D24,'Intermediary Directory'!$A$4:$A$28,0)),1))</f>
        <v/>
      </c>
      <c r="R24" s="19" t="str">
        <f>IF($A24="","",ROUND(100*('Settings and Scoring Rules'!$B$11*M24+'Settings and Scoring Rules'!$B$12*($I24-1)/4+'Settings and Scoring Rules'!$B$13*O24+'Settings and Scoring Rules'!$B$14*P24+'Settings and Scoring Rules'!$B$15*(Q24-1)/4),1))</f>
        <v/>
      </c>
      <c r="S24" s="21" t="str">
        <f t="shared" si="0"/>
        <v/>
      </c>
      <c r="T24" s="18" t="str">
        <f t="shared" si="1"/>
        <v/>
      </c>
      <c r="U24" s="18" t="str">
        <f>IF(OR($A24="",$J24=""),"",'Settings and Scoring Rules'!$B$4-$J24)</f>
        <v/>
      </c>
      <c r="V24" s="18" t="str">
        <f>IF(OR($A24="",N24&lt;&gt;1,$L24=""),"",MAX(0,'Settings and Scoring Rules'!$B$4-$L24))</f>
        <v/>
      </c>
      <c r="W24" s="8" t="str">
        <f>IF($A24="","",IF(N24&lt;&gt;1,"Inactive - "&amp;$G24,IF($L24="","NO NEXT ACTION",IF(V24&gt;0,"OVERDUE "&amp;V24&amp;"d",IF($L24-'Settings and Scoring Rules'!$B$4&lt;='Settings and Scoring Rules'!$B$7,"DUE IN "&amp;($L24-'Settings and Scoring Rules'!$B$4)&amp;"d",IF(N(U24)&gt;'Settings and Scoring Rules'!$B$8,"STALE","On track"))))))</f>
        <v/>
      </c>
      <c r="X24" s="22" t="str">
        <f t="shared" si="2"/>
        <v/>
      </c>
    </row>
    <row r="25" spans="1:24" x14ac:dyDescent="0.35">
      <c r="A25" s="17"/>
      <c r="B25" s="17"/>
      <c r="C25" s="17"/>
      <c r="D25" s="17"/>
      <c r="E25" s="8" t="str">
        <f>IF($D25="","",IFERROR(INDEX('Intermediary Directory'!$B$4:$B$28,MATCH($D25,'Intermediary Directory'!$A$4:$A$28,0)),"UNKNOWN ID"))</f>
        <v/>
      </c>
      <c r="F25" s="17"/>
      <c r="G25" s="17"/>
      <c r="H25" s="10"/>
      <c r="I25" s="11"/>
      <c r="J25" s="9"/>
      <c r="K25" s="17"/>
      <c r="L25" s="9"/>
      <c r="M25" s="20" t="str">
        <f>IF($A25="","",IFERROR(VLOOKUP($G25,'Settings and Scoring Rules'!$A$19:$D$28,3,FALSE),0))</f>
        <v/>
      </c>
      <c r="N25" s="18" t="str">
        <f>IF($A25="","",IFERROR(VLOOKUP($G25,'Settings and Scoring Rules'!$A$19:$D$28,4,FALSE),0))</f>
        <v/>
      </c>
      <c r="O25" s="19" t="str">
        <f>IF($A25="","",IF(AND($H25&gt;='Settings and Scoring Rules'!$B$5,$H25&lt;='Settings and Scoring Rules'!$B$6),1,IF(AND($H25&gt;='Settings and Scoring Rules'!$B$5*0.5,$H25&lt;='Settings and Scoring Rules'!$B$6*1.5),0.5,0)))</f>
        <v/>
      </c>
      <c r="P25" s="19" t="str">
        <f>IF($A25="","",IFERROR(VLOOKUP($F25,'Settings and Scoring Rules'!$A$31:$B$33,2,FALSE),0))</f>
        <v/>
      </c>
      <c r="Q25" s="18" t="str">
        <f>IF($A25="","",IFERROR(INDEX('Intermediary Directory'!$H$4:$H$28,MATCH($D25,'Intermediary Directory'!$A$4:$A$28,0)),1))</f>
        <v/>
      </c>
      <c r="R25" s="19" t="str">
        <f>IF($A25="","",ROUND(100*('Settings and Scoring Rules'!$B$11*M25+'Settings and Scoring Rules'!$B$12*($I25-1)/4+'Settings and Scoring Rules'!$B$13*O25+'Settings and Scoring Rules'!$B$14*P25+'Settings and Scoring Rules'!$B$15*(Q25-1)/4),1))</f>
        <v/>
      </c>
      <c r="S25" s="21" t="str">
        <f t="shared" si="0"/>
        <v/>
      </c>
      <c r="T25" s="18" t="str">
        <f t="shared" si="1"/>
        <v/>
      </c>
      <c r="U25" s="18" t="str">
        <f>IF(OR($A25="",$J25=""),"",'Settings and Scoring Rules'!$B$4-$J25)</f>
        <v/>
      </c>
      <c r="V25" s="18" t="str">
        <f>IF(OR($A25="",N25&lt;&gt;1,$L25=""),"",MAX(0,'Settings and Scoring Rules'!$B$4-$L25))</f>
        <v/>
      </c>
      <c r="W25" s="8" t="str">
        <f>IF($A25="","",IF(N25&lt;&gt;1,"Inactive - "&amp;$G25,IF($L25="","NO NEXT ACTION",IF(V25&gt;0,"OVERDUE "&amp;V25&amp;"d",IF($L25-'Settings and Scoring Rules'!$B$4&lt;='Settings and Scoring Rules'!$B$7,"DUE IN "&amp;($L25-'Settings and Scoring Rules'!$B$4)&amp;"d",IF(N(U25)&gt;'Settings and Scoring Rules'!$B$8,"STALE","On track"))))))</f>
        <v/>
      </c>
      <c r="X25" s="22" t="str">
        <f t="shared" si="2"/>
        <v/>
      </c>
    </row>
    <row r="26" spans="1:24" x14ac:dyDescent="0.35">
      <c r="A26" s="17"/>
      <c r="B26" s="17"/>
      <c r="C26" s="17"/>
      <c r="D26" s="17"/>
      <c r="E26" s="8" t="str">
        <f>IF($D26="","",IFERROR(INDEX('Intermediary Directory'!$B$4:$B$28,MATCH($D26,'Intermediary Directory'!$A$4:$A$28,0)),"UNKNOWN ID"))</f>
        <v/>
      </c>
      <c r="F26" s="17"/>
      <c r="G26" s="17"/>
      <c r="H26" s="10"/>
      <c r="I26" s="11"/>
      <c r="J26" s="9"/>
      <c r="K26" s="17"/>
      <c r="L26" s="9"/>
      <c r="M26" s="20" t="str">
        <f>IF($A26="","",IFERROR(VLOOKUP($G26,'Settings and Scoring Rules'!$A$19:$D$28,3,FALSE),0))</f>
        <v/>
      </c>
      <c r="N26" s="18" t="str">
        <f>IF($A26="","",IFERROR(VLOOKUP($G26,'Settings and Scoring Rules'!$A$19:$D$28,4,FALSE),0))</f>
        <v/>
      </c>
      <c r="O26" s="19" t="str">
        <f>IF($A26="","",IF(AND($H26&gt;='Settings and Scoring Rules'!$B$5,$H26&lt;='Settings and Scoring Rules'!$B$6),1,IF(AND($H26&gt;='Settings and Scoring Rules'!$B$5*0.5,$H26&lt;='Settings and Scoring Rules'!$B$6*1.5),0.5,0)))</f>
        <v/>
      </c>
      <c r="P26" s="19" t="str">
        <f>IF($A26="","",IFERROR(VLOOKUP($F26,'Settings and Scoring Rules'!$A$31:$B$33,2,FALSE),0))</f>
        <v/>
      </c>
      <c r="Q26" s="18" t="str">
        <f>IF($A26="","",IFERROR(INDEX('Intermediary Directory'!$H$4:$H$28,MATCH($D26,'Intermediary Directory'!$A$4:$A$28,0)),1))</f>
        <v/>
      </c>
      <c r="R26" s="19" t="str">
        <f>IF($A26="","",ROUND(100*('Settings and Scoring Rules'!$B$11*M26+'Settings and Scoring Rules'!$B$12*($I26-1)/4+'Settings and Scoring Rules'!$B$13*O26+'Settings and Scoring Rules'!$B$14*P26+'Settings and Scoring Rules'!$B$15*(Q26-1)/4),1))</f>
        <v/>
      </c>
      <c r="S26" s="21" t="str">
        <f t="shared" si="0"/>
        <v/>
      </c>
      <c r="T26" s="18" t="str">
        <f t="shared" si="1"/>
        <v/>
      </c>
      <c r="U26" s="18" t="str">
        <f>IF(OR($A26="",$J26=""),"",'Settings and Scoring Rules'!$B$4-$J26)</f>
        <v/>
      </c>
      <c r="V26" s="18" t="str">
        <f>IF(OR($A26="",N26&lt;&gt;1,$L26=""),"",MAX(0,'Settings and Scoring Rules'!$B$4-$L26))</f>
        <v/>
      </c>
      <c r="W26" s="8" t="str">
        <f>IF($A26="","",IF(N26&lt;&gt;1,"Inactive - "&amp;$G26,IF($L26="","NO NEXT ACTION",IF(V26&gt;0,"OVERDUE "&amp;V26&amp;"d",IF($L26-'Settings and Scoring Rules'!$B$4&lt;='Settings and Scoring Rules'!$B$7,"DUE IN "&amp;($L26-'Settings and Scoring Rules'!$B$4)&amp;"d",IF(N(U26)&gt;'Settings and Scoring Rules'!$B$8,"STALE","On track"))))))</f>
        <v/>
      </c>
      <c r="X26" s="22" t="str">
        <f t="shared" si="2"/>
        <v/>
      </c>
    </row>
    <row r="27" spans="1:24" x14ac:dyDescent="0.35">
      <c r="A27" s="17"/>
      <c r="B27" s="17"/>
      <c r="C27" s="17"/>
      <c r="D27" s="17"/>
      <c r="E27" s="8" t="str">
        <f>IF($D27="","",IFERROR(INDEX('Intermediary Directory'!$B$4:$B$28,MATCH($D27,'Intermediary Directory'!$A$4:$A$28,0)),"UNKNOWN ID"))</f>
        <v/>
      </c>
      <c r="F27" s="17"/>
      <c r="G27" s="17"/>
      <c r="H27" s="10"/>
      <c r="I27" s="11"/>
      <c r="J27" s="9"/>
      <c r="K27" s="17"/>
      <c r="L27" s="9"/>
      <c r="M27" s="20" t="str">
        <f>IF($A27="","",IFERROR(VLOOKUP($G27,'Settings and Scoring Rules'!$A$19:$D$28,3,FALSE),0))</f>
        <v/>
      </c>
      <c r="N27" s="18" t="str">
        <f>IF($A27="","",IFERROR(VLOOKUP($G27,'Settings and Scoring Rules'!$A$19:$D$28,4,FALSE),0))</f>
        <v/>
      </c>
      <c r="O27" s="19" t="str">
        <f>IF($A27="","",IF(AND($H27&gt;='Settings and Scoring Rules'!$B$5,$H27&lt;='Settings and Scoring Rules'!$B$6),1,IF(AND($H27&gt;='Settings and Scoring Rules'!$B$5*0.5,$H27&lt;='Settings and Scoring Rules'!$B$6*1.5),0.5,0)))</f>
        <v/>
      </c>
      <c r="P27" s="19" t="str">
        <f>IF($A27="","",IFERROR(VLOOKUP($F27,'Settings and Scoring Rules'!$A$31:$B$33,2,FALSE),0))</f>
        <v/>
      </c>
      <c r="Q27" s="18" t="str">
        <f>IF($A27="","",IFERROR(INDEX('Intermediary Directory'!$H$4:$H$28,MATCH($D27,'Intermediary Directory'!$A$4:$A$28,0)),1))</f>
        <v/>
      </c>
      <c r="R27" s="19" t="str">
        <f>IF($A27="","",ROUND(100*('Settings and Scoring Rules'!$B$11*M27+'Settings and Scoring Rules'!$B$12*($I27-1)/4+'Settings and Scoring Rules'!$B$13*O27+'Settings and Scoring Rules'!$B$14*P27+'Settings and Scoring Rules'!$B$15*(Q27-1)/4),1))</f>
        <v/>
      </c>
      <c r="S27" s="21" t="str">
        <f t="shared" si="0"/>
        <v/>
      </c>
      <c r="T27" s="18" t="str">
        <f t="shared" si="1"/>
        <v/>
      </c>
      <c r="U27" s="18" t="str">
        <f>IF(OR($A27="",$J27=""),"",'Settings and Scoring Rules'!$B$4-$J27)</f>
        <v/>
      </c>
      <c r="V27" s="18" t="str">
        <f>IF(OR($A27="",N27&lt;&gt;1,$L27=""),"",MAX(0,'Settings and Scoring Rules'!$B$4-$L27))</f>
        <v/>
      </c>
      <c r="W27" s="8" t="str">
        <f>IF($A27="","",IF(N27&lt;&gt;1,"Inactive - "&amp;$G27,IF($L27="","NO NEXT ACTION",IF(V27&gt;0,"OVERDUE "&amp;V27&amp;"d",IF($L27-'Settings and Scoring Rules'!$B$4&lt;='Settings and Scoring Rules'!$B$7,"DUE IN "&amp;($L27-'Settings and Scoring Rules'!$B$4)&amp;"d",IF(N(U27)&gt;'Settings and Scoring Rules'!$B$8,"STALE","On track"))))))</f>
        <v/>
      </c>
      <c r="X27" s="22" t="str">
        <f t="shared" si="2"/>
        <v/>
      </c>
    </row>
    <row r="28" spans="1:24" x14ac:dyDescent="0.35">
      <c r="A28" s="17"/>
      <c r="B28" s="17"/>
      <c r="C28" s="17"/>
      <c r="D28" s="17"/>
      <c r="E28" s="8" t="str">
        <f>IF($D28="","",IFERROR(INDEX('Intermediary Directory'!$B$4:$B$28,MATCH($D28,'Intermediary Directory'!$A$4:$A$28,0)),"UNKNOWN ID"))</f>
        <v/>
      </c>
      <c r="F28" s="17"/>
      <c r="G28" s="17"/>
      <c r="H28" s="10"/>
      <c r="I28" s="11"/>
      <c r="J28" s="9"/>
      <c r="K28" s="17"/>
      <c r="L28" s="9"/>
      <c r="M28" s="20" t="str">
        <f>IF($A28="","",IFERROR(VLOOKUP($G28,'Settings and Scoring Rules'!$A$19:$D$28,3,FALSE),0))</f>
        <v/>
      </c>
      <c r="N28" s="18" t="str">
        <f>IF($A28="","",IFERROR(VLOOKUP($G28,'Settings and Scoring Rules'!$A$19:$D$28,4,FALSE),0))</f>
        <v/>
      </c>
      <c r="O28" s="19" t="str">
        <f>IF($A28="","",IF(AND($H28&gt;='Settings and Scoring Rules'!$B$5,$H28&lt;='Settings and Scoring Rules'!$B$6),1,IF(AND($H28&gt;='Settings and Scoring Rules'!$B$5*0.5,$H28&lt;='Settings and Scoring Rules'!$B$6*1.5),0.5,0)))</f>
        <v/>
      </c>
      <c r="P28" s="19" t="str">
        <f>IF($A28="","",IFERROR(VLOOKUP($F28,'Settings and Scoring Rules'!$A$31:$B$33,2,FALSE),0))</f>
        <v/>
      </c>
      <c r="Q28" s="18" t="str">
        <f>IF($A28="","",IFERROR(INDEX('Intermediary Directory'!$H$4:$H$28,MATCH($D28,'Intermediary Directory'!$A$4:$A$28,0)),1))</f>
        <v/>
      </c>
      <c r="R28" s="19" t="str">
        <f>IF($A28="","",ROUND(100*('Settings and Scoring Rules'!$B$11*M28+'Settings and Scoring Rules'!$B$12*($I28-1)/4+'Settings and Scoring Rules'!$B$13*O28+'Settings and Scoring Rules'!$B$14*P28+'Settings and Scoring Rules'!$B$15*(Q28-1)/4),1))</f>
        <v/>
      </c>
      <c r="S28" s="21" t="str">
        <f t="shared" si="0"/>
        <v/>
      </c>
      <c r="T28" s="18" t="str">
        <f t="shared" si="1"/>
        <v/>
      </c>
      <c r="U28" s="18" t="str">
        <f>IF(OR($A28="",$J28=""),"",'Settings and Scoring Rules'!$B$4-$J28)</f>
        <v/>
      </c>
      <c r="V28" s="18" t="str">
        <f>IF(OR($A28="",N28&lt;&gt;1,$L28=""),"",MAX(0,'Settings and Scoring Rules'!$B$4-$L28))</f>
        <v/>
      </c>
      <c r="W28" s="8" t="str">
        <f>IF($A28="","",IF(N28&lt;&gt;1,"Inactive - "&amp;$G28,IF($L28="","NO NEXT ACTION",IF(V28&gt;0,"OVERDUE "&amp;V28&amp;"d",IF($L28-'Settings and Scoring Rules'!$B$4&lt;='Settings and Scoring Rules'!$B$7,"DUE IN "&amp;($L28-'Settings and Scoring Rules'!$B$4)&amp;"d",IF(N(U28)&gt;'Settings and Scoring Rules'!$B$8,"STALE","On track"))))))</f>
        <v/>
      </c>
      <c r="X28" s="22" t="str">
        <f t="shared" si="2"/>
        <v/>
      </c>
    </row>
    <row r="29" spans="1:24" x14ac:dyDescent="0.35">
      <c r="A29" s="17"/>
      <c r="B29" s="17"/>
      <c r="C29" s="17"/>
      <c r="D29" s="17"/>
      <c r="E29" s="8" t="str">
        <f>IF($D29="","",IFERROR(INDEX('Intermediary Directory'!$B$4:$B$28,MATCH($D29,'Intermediary Directory'!$A$4:$A$28,0)),"UNKNOWN ID"))</f>
        <v/>
      </c>
      <c r="F29" s="17"/>
      <c r="G29" s="17"/>
      <c r="H29" s="10"/>
      <c r="I29" s="11"/>
      <c r="J29" s="9"/>
      <c r="K29" s="17"/>
      <c r="L29" s="9"/>
      <c r="M29" s="20" t="str">
        <f>IF($A29="","",IFERROR(VLOOKUP($G29,'Settings and Scoring Rules'!$A$19:$D$28,3,FALSE),0))</f>
        <v/>
      </c>
      <c r="N29" s="18" t="str">
        <f>IF($A29="","",IFERROR(VLOOKUP($G29,'Settings and Scoring Rules'!$A$19:$D$28,4,FALSE),0))</f>
        <v/>
      </c>
      <c r="O29" s="19" t="str">
        <f>IF($A29="","",IF(AND($H29&gt;='Settings and Scoring Rules'!$B$5,$H29&lt;='Settings and Scoring Rules'!$B$6),1,IF(AND($H29&gt;='Settings and Scoring Rules'!$B$5*0.5,$H29&lt;='Settings and Scoring Rules'!$B$6*1.5),0.5,0)))</f>
        <v/>
      </c>
      <c r="P29" s="19" t="str">
        <f>IF($A29="","",IFERROR(VLOOKUP($F29,'Settings and Scoring Rules'!$A$31:$B$33,2,FALSE),0))</f>
        <v/>
      </c>
      <c r="Q29" s="18" t="str">
        <f>IF($A29="","",IFERROR(INDEX('Intermediary Directory'!$H$4:$H$28,MATCH($D29,'Intermediary Directory'!$A$4:$A$28,0)),1))</f>
        <v/>
      </c>
      <c r="R29" s="19" t="str">
        <f>IF($A29="","",ROUND(100*('Settings and Scoring Rules'!$B$11*M29+'Settings and Scoring Rules'!$B$12*($I29-1)/4+'Settings and Scoring Rules'!$B$13*O29+'Settings and Scoring Rules'!$B$14*P29+'Settings and Scoring Rules'!$B$15*(Q29-1)/4),1))</f>
        <v/>
      </c>
      <c r="S29" s="21" t="str">
        <f t="shared" si="0"/>
        <v/>
      </c>
      <c r="T29" s="18" t="str">
        <f t="shared" si="1"/>
        <v/>
      </c>
      <c r="U29" s="18" t="str">
        <f>IF(OR($A29="",$J29=""),"",'Settings and Scoring Rules'!$B$4-$J29)</f>
        <v/>
      </c>
      <c r="V29" s="18" t="str">
        <f>IF(OR($A29="",N29&lt;&gt;1,$L29=""),"",MAX(0,'Settings and Scoring Rules'!$B$4-$L29))</f>
        <v/>
      </c>
      <c r="W29" s="8" t="str">
        <f>IF($A29="","",IF(N29&lt;&gt;1,"Inactive - "&amp;$G29,IF($L29="","NO NEXT ACTION",IF(V29&gt;0,"OVERDUE "&amp;V29&amp;"d",IF($L29-'Settings and Scoring Rules'!$B$4&lt;='Settings and Scoring Rules'!$B$7,"DUE IN "&amp;($L29-'Settings and Scoring Rules'!$B$4)&amp;"d",IF(N(U29)&gt;'Settings and Scoring Rules'!$B$8,"STALE","On track"))))))</f>
        <v/>
      </c>
      <c r="X29" s="22" t="str">
        <f t="shared" si="2"/>
        <v/>
      </c>
    </row>
    <row r="30" spans="1:24" x14ac:dyDescent="0.35">
      <c r="A30" s="17"/>
      <c r="B30" s="17"/>
      <c r="C30" s="17"/>
      <c r="D30" s="17"/>
      <c r="E30" s="8" t="str">
        <f>IF($D30="","",IFERROR(INDEX('Intermediary Directory'!$B$4:$B$28,MATCH($D30,'Intermediary Directory'!$A$4:$A$28,0)),"UNKNOWN ID"))</f>
        <v/>
      </c>
      <c r="F30" s="17"/>
      <c r="G30" s="17"/>
      <c r="H30" s="10"/>
      <c r="I30" s="11"/>
      <c r="J30" s="9"/>
      <c r="K30" s="17"/>
      <c r="L30" s="9"/>
      <c r="M30" s="20" t="str">
        <f>IF($A30="","",IFERROR(VLOOKUP($G30,'Settings and Scoring Rules'!$A$19:$D$28,3,FALSE),0))</f>
        <v/>
      </c>
      <c r="N30" s="18" t="str">
        <f>IF($A30="","",IFERROR(VLOOKUP($G30,'Settings and Scoring Rules'!$A$19:$D$28,4,FALSE),0))</f>
        <v/>
      </c>
      <c r="O30" s="19" t="str">
        <f>IF($A30="","",IF(AND($H30&gt;='Settings and Scoring Rules'!$B$5,$H30&lt;='Settings and Scoring Rules'!$B$6),1,IF(AND($H30&gt;='Settings and Scoring Rules'!$B$5*0.5,$H30&lt;='Settings and Scoring Rules'!$B$6*1.5),0.5,0)))</f>
        <v/>
      </c>
      <c r="P30" s="19" t="str">
        <f>IF($A30="","",IFERROR(VLOOKUP($F30,'Settings and Scoring Rules'!$A$31:$B$33,2,FALSE),0))</f>
        <v/>
      </c>
      <c r="Q30" s="18" t="str">
        <f>IF($A30="","",IFERROR(INDEX('Intermediary Directory'!$H$4:$H$28,MATCH($D30,'Intermediary Directory'!$A$4:$A$28,0)),1))</f>
        <v/>
      </c>
      <c r="R30" s="19" t="str">
        <f>IF($A30="","",ROUND(100*('Settings and Scoring Rules'!$B$11*M30+'Settings and Scoring Rules'!$B$12*($I30-1)/4+'Settings and Scoring Rules'!$B$13*O30+'Settings and Scoring Rules'!$B$14*P30+'Settings and Scoring Rules'!$B$15*(Q30-1)/4),1))</f>
        <v/>
      </c>
      <c r="S30" s="21" t="str">
        <f t="shared" si="0"/>
        <v/>
      </c>
      <c r="T30" s="18" t="str">
        <f t="shared" si="1"/>
        <v/>
      </c>
      <c r="U30" s="18" t="str">
        <f>IF(OR($A30="",$J30=""),"",'Settings and Scoring Rules'!$B$4-$J30)</f>
        <v/>
      </c>
      <c r="V30" s="18" t="str">
        <f>IF(OR($A30="",N30&lt;&gt;1,$L30=""),"",MAX(0,'Settings and Scoring Rules'!$B$4-$L30))</f>
        <v/>
      </c>
      <c r="W30" s="8" t="str">
        <f>IF($A30="","",IF(N30&lt;&gt;1,"Inactive - "&amp;$G30,IF($L30="","NO NEXT ACTION",IF(V30&gt;0,"OVERDUE "&amp;V30&amp;"d",IF($L30-'Settings and Scoring Rules'!$B$4&lt;='Settings and Scoring Rules'!$B$7,"DUE IN "&amp;($L30-'Settings and Scoring Rules'!$B$4)&amp;"d",IF(N(U30)&gt;'Settings and Scoring Rules'!$B$8,"STALE","On track"))))))</f>
        <v/>
      </c>
      <c r="X30" s="22" t="str">
        <f t="shared" si="2"/>
        <v/>
      </c>
    </row>
    <row r="31" spans="1:24" x14ac:dyDescent="0.35">
      <c r="A31" s="17"/>
      <c r="B31" s="17"/>
      <c r="C31" s="17"/>
      <c r="D31" s="17"/>
      <c r="E31" s="8" t="str">
        <f>IF($D31="","",IFERROR(INDEX('Intermediary Directory'!$B$4:$B$28,MATCH($D31,'Intermediary Directory'!$A$4:$A$28,0)),"UNKNOWN ID"))</f>
        <v/>
      </c>
      <c r="F31" s="17"/>
      <c r="G31" s="17"/>
      <c r="H31" s="10"/>
      <c r="I31" s="11"/>
      <c r="J31" s="9"/>
      <c r="K31" s="17"/>
      <c r="L31" s="9"/>
      <c r="M31" s="20" t="str">
        <f>IF($A31="","",IFERROR(VLOOKUP($G31,'Settings and Scoring Rules'!$A$19:$D$28,3,FALSE),0))</f>
        <v/>
      </c>
      <c r="N31" s="18" t="str">
        <f>IF($A31="","",IFERROR(VLOOKUP($G31,'Settings and Scoring Rules'!$A$19:$D$28,4,FALSE),0))</f>
        <v/>
      </c>
      <c r="O31" s="19" t="str">
        <f>IF($A31="","",IF(AND($H31&gt;='Settings and Scoring Rules'!$B$5,$H31&lt;='Settings and Scoring Rules'!$B$6),1,IF(AND($H31&gt;='Settings and Scoring Rules'!$B$5*0.5,$H31&lt;='Settings and Scoring Rules'!$B$6*1.5),0.5,0)))</f>
        <v/>
      </c>
      <c r="P31" s="19" t="str">
        <f>IF($A31="","",IFERROR(VLOOKUP($F31,'Settings and Scoring Rules'!$A$31:$B$33,2,FALSE),0))</f>
        <v/>
      </c>
      <c r="Q31" s="18" t="str">
        <f>IF($A31="","",IFERROR(INDEX('Intermediary Directory'!$H$4:$H$28,MATCH($D31,'Intermediary Directory'!$A$4:$A$28,0)),1))</f>
        <v/>
      </c>
      <c r="R31" s="19" t="str">
        <f>IF($A31="","",ROUND(100*('Settings and Scoring Rules'!$B$11*M31+'Settings and Scoring Rules'!$B$12*($I31-1)/4+'Settings and Scoring Rules'!$B$13*O31+'Settings and Scoring Rules'!$B$14*P31+'Settings and Scoring Rules'!$B$15*(Q31-1)/4),1))</f>
        <v/>
      </c>
      <c r="S31" s="21" t="str">
        <f t="shared" si="0"/>
        <v/>
      </c>
      <c r="T31" s="18" t="str">
        <f t="shared" si="1"/>
        <v/>
      </c>
      <c r="U31" s="18" t="str">
        <f>IF(OR($A31="",$J31=""),"",'Settings and Scoring Rules'!$B$4-$J31)</f>
        <v/>
      </c>
      <c r="V31" s="18" t="str">
        <f>IF(OR($A31="",N31&lt;&gt;1,$L31=""),"",MAX(0,'Settings and Scoring Rules'!$B$4-$L31))</f>
        <v/>
      </c>
      <c r="W31" s="8" t="str">
        <f>IF($A31="","",IF(N31&lt;&gt;1,"Inactive - "&amp;$G31,IF($L31="","NO NEXT ACTION",IF(V31&gt;0,"OVERDUE "&amp;V31&amp;"d",IF($L31-'Settings and Scoring Rules'!$B$4&lt;='Settings and Scoring Rules'!$B$7,"DUE IN "&amp;($L31-'Settings and Scoring Rules'!$B$4)&amp;"d",IF(N(U31)&gt;'Settings and Scoring Rules'!$B$8,"STALE","On track"))))))</f>
        <v/>
      </c>
      <c r="X31" s="22" t="str">
        <f t="shared" si="2"/>
        <v/>
      </c>
    </row>
    <row r="32" spans="1:24" x14ac:dyDescent="0.35">
      <c r="A32" s="17"/>
      <c r="B32" s="17"/>
      <c r="C32" s="17"/>
      <c r="D32" s="17"/>
      <c r="E32" s="8" t="str">
        <f>IF($D32="","",IFERROR(INDEX('Intermediary Directory'!$B$4:$B$28,MATCH($D32,'Intermediary Directory'!$A$4:$A$28,0)),"UNKNOWN ID"))</f>
        <v/>
      </c>
      <c r="F32" s="17"/>
      <c r="G32" s="17"/>
      <c r="H32" s="10"/>
      <c r="I32" s="11"/>
      <c r="J32" s="9"/>
      <c r="K32" s="17"/>
      <c r="L32" s="9"/>
      <c r="M32" s="20" t="str">
        <f>IF($A32="","",IFERROR(VLOOKUP($G32,'Settings and Scoring Rules'!$A$19:$D$28,3,FALSE),0))</f>
        <v/>
      </c>
      <c r="N32" s="18" t="str">
        <f>IF($A32="","",IFERROR(VLOOKUP($G32,'Settings and Scoring Rules'!$A$19:$D$28,4,FALSE),0))</f>
        <v/>
      </c>
      <c r="O32" s="19" t="str">
        <f>IF($A32="","",IF(AND($H32&gt;='Settings and Scoring Rules'!$B$5,$H32&lt;='Settings and Scoring Rules'!$B$6),1,IF(AND($H32&gt;='Settings and Scoring Rules'!$B$5*0.5,$H32&lt;='Settings and Scoring Rules'!$B$6*1.5),0.5,0)))</f>
        <v/>
      </c>
      <c r="P32" s="19" t="str">
        <f>IF($A32="","",IFERROR(VLOOKUP($F32,'Settings and Scoring Rules'!$A$31:$B$33,2,FALSE),0))</f>
        <v/>
      </c>
      <c r="Q32" s="18" t="str">
        <f>IF($A32="","",IFERROR(INDEX('Intermediary Directory'!$H$4:$H$28,MATCH($D32,'Intermediary Directory'!$A$4:$A$28,0)),1))</f>
        <v/>
      </c>
      <c r="R32" s="19" t="str">
        <f>IF($A32="","",ROUND(100*('Settings and Scoring Rules'!$B$11*M32+'Settings and Scoring Rules'!$B$12*($I32-1)/4+'Settings and Scoring Rules'!$B$13*O32+'Settings and Scoring Rules'!$B$14*P32+'Settings and Scoring Rules'!$B$15*(Q32-1)/4),1))</f>
        <v/>
      </c>
      <c r="S32" s="21" t="str">
        <f t="shared" si="0"/>
        <v/>
      </c>
      <c r="T32" s="18" t="str">
        <f t="shared" si="1"/>
        <v/>
      </c>
      <c r="U32" s="18" t="str">
        <f>IF(OR($A32="",$J32=""),"",'Settings and Scoring Rules'!$B$4-$J32)</f>
        <v/>
      </c>
      <c r="V32" s="18" t="str">
        <f>IF(OR($A32="",N32&lt;&gt;1,$L32=""),"",MAX(0,'Settings and Scoring Rules'!$B$4-$L32))</f>
        <v/>
      </c>
      <c r="W32" s="8" t="str">
        <f>IF($A32="","",IF(N32&lt;&gt;1,"Inactive - "&amp;$G32,IF($L32="","NO NEXT ACTION",IF(V32&gt;0,"OVERDUE "&amp;V32&amp;"d",IF($L32-'Settings and Scoring Rules'!$B$4&lt;='Settings and Scoring Rules'!$B$7,"DUE IN "&amp;($L32-'Settings and Scoring Rules'!$B$4)&amp;"d",IF(N(U32)&gt;'Settings and Scoring Rules'!$B$8,"STALE","On track"))))))</f>
        <v/>
      </c>
      <c r="X32" s="22" t="str">
        <f t="shared" si="2"/>
        <v/>
      </c>
    </row>
    <row r="33" spans="1:24" x14ac:dyDescent="0.35">
      <c r="A33" s="17"/>
      <c r="B33" s="17"/>
      <c r="C33" s="17"/>
      <c r="D33" s="17"/>
      <c r="E33" s="8" t="str">
        <f>IF($D33="","",IFERROR(INDEX('Intermediary Directory'!$B$4:$B$28,MATCH($D33,'Intermediary Directory'!$A$4:$A$28,0)),"UNKNOWN ID"))</f>
        <v/>
      </c>
      <c r="F33" s="17"/>
      <c r="G33" s="17"/>
      <c r="H33" s="10"/>
      <c r="I33" s="11"/>
      <c r="J33" s="9"/>
      <c r="K33" s="17"/>
      <c r="L33" s="9"/>
      <c r="M33" s="20" t="str">
        <f>IF($A33="","",IFERROR(VLOOKUP($G33,'Settings and Scoring Rules'!$A$19:$D$28,3,FALSE),0))</f>
        <v/>
      </c>
      <c r="N33" s="18" t="str">
        <f>IF($A33="","",IFERROR(VLOOKUP($G33,'Settings and Scoring Rules'!$A$19:$D$28,4,FALSE),0))</f>
        <v/>
      </c>
      <c r="O33" s="19" t="str">
        <f>IF($A33="","",IF(AND($H33&gt;='Settings and Scoring Rules'!$B$5,$H33&lt;='Settings and Scoring Rules'!$B$6),1,IF(AND($H33&gt;='Settings and Scoring Rules'!$B$5*0.5,$H33&lt;='Settings and Scoring Rules'!$B$6*1.5),0.5,0)))</f>
        <v/>
      </c>
      <c r="P33" s="19" t="str">
        <f>IF($A33="","",IFERROR(VLOOKUP($F33,'Settings and Scoring Rules'!$A$31:$B$33,2,FALSE),0))</f>
        <v/>
      </c>
      <c r="Q33" s="18" t="str">
        <f>IF($A33="","",IFERROR(INDEX('Intermediary Directory'!$H$4:$H$28,MATCH($D33,'Intermediary Directory'!$A$4:$A$28,0)),1))</f>
        <v/>
      </c>
      <c r="R33" s="19" t="str">
        <f>IF($A33="","",ROUND(100*('Settings and Scoring Rules'!$B$11*M33+'Settings and Scoring Rules'!$B$12*($I33-1)/4+'Settings and Scoring Rules'!$B$13*O33+'Settings and Scoring Rules'!$B$14*P33+'Settings and Scoring Rules'!$B$15*(Q33-1)/4),1))</f>
        <v/>
      </c>
      <c r="S33" s="21" t="str">
        <f t="shared" si="0"/>
        <v/>
      </c>
      <c r="T33" s="18" t="str">
        <f t="shared" si="1"/>
        <v/>
      </c>
      <c r="U33" s="18" t="str">
        <f>IF(OR($A33="",$J33=""),"",'Settings and Scoring Rules'!$B$4-$J33)</f>
        <v/>
      </c>
      <c r="V33" s="18" t="str">
        <f>IF(OR($A33="",N33&lt;&gt;1,$L33=""),"",MAX(0,'Settings and Scoring Rules'!$B$4-$L33))</f>
        <v/>
      </c>
      <c r="W33" s="8" t="str">
        <f>IF($A33="","",IF(N33&lt;&gt;1,"Inactive - "&amp;$G33,IF($L33="","NO NEXT ACTION",IF(V33&gt;0,"OVERDUE "&amp;V33&amp;"d",IF($L33-'Settings and Scoring Rules'!$B$4&lt;='Settings and Scoring Rules'!$B$7,"DUE IN "&amp;($L33-'Settings and Scoring Rules'!$B$4)&amp;"d",IF(N(U33)&gt;'Settings and Scoring Rules'!$B$8,"STALE","On track"))))))</f>
        <v/>
      </c>
      <c r="X33" s="22" t="str">
        <f t="shared" si="2"/>
        <v/>
      </c>
    </row>
    <row r="34" spans="1:24" x14ac:dyDescent="0.35">
      <c r="A34" s="17"/>
      <c r="B34" s="17"/>
      <c r="C34" s="17"/>
      <c r="D34" s="17"/>
      <c r="E34" s="8" t="str">
        <f>IF($D34="","",IFERROR(INDEX('Intermediary Directory'!$B$4:$B$28,MATCH($D34,'Intermediary Directory'!$A$4:$A$28,0)),"UNKNOWN ID"))</f>
        <v/>
      </c>
      <c r="F34" s="17"/>
      <c r="G34" s="17"/>
      <c r="H34" s="10"/>
      <c r="I34" s="11"/>
      <c r="J34" s="9"/>
      <c r="K34" s="17"/>
      <c r="L34" s="9"/>
      <c r="M34" s="20" t="str">
        <f>IF($A34="","",IFERROR(VLOOKUP($G34,'Settings and Scoring Rules'!$A$19:$D$28,3,FALSE),0))</f>
        <v/>
      </c>
      <c r="N34" s="18" t="str">
        <f>IF($A34="","",IFERROR(VLOOKUP($G34,'Settings and Scoring Rules'!$A$19:$D$28,4,FALSE),0))</f>
        <v/>
      </c>
      <c r="O34" s="19" t="str">
        <f>IF($A34="","",IF(AND($H34&gt;='Settings and Scoring Rules'!$B$5,$H34&lt;='Settings and Scoring Rules'!$B$6),1,IF(AND($H34&gt;='Settings and Scoring Rules'!$B$5*0.5,$H34&lt;='Settings and Scoring Rules'!$B$6*1.5),0.5,0)))</f>
        <v/>
      </c>
      <c r="P34" s="19" t="str">
        <f>IF($A34="","",IFERROR(VLOOKUP($F34,'Settings and Scoring Rules'!$A$31:$B$33,2,FALSE),0))</f>
        <v/>
      </c>
      <c r="Q34" s="18" t="str">
        <f>IF($A34="","",IFERROR(INDEX('Intermediary Directory'!$H$4:$H$28,MATCH($D34,'Intermediary Directory'!$A$4:$A$28,0)),1))</f>
        <v/>
      </c>
      <c r="R34" s="19" t="str">
        <f>IF($A34="","",ROUND(100*('Settings and Scoring Rules'!$B$11*M34+'Settings and Scoring Rules'!$B$12*($I34-1)/4+'Settings and Scoring Rules'!$B$13*O34+'Settings and Scoring Rules'!$B$14*P34+'Settings and Scoring Rules'!$B$15*(Q34-1)/4),1))</f>
        <v/>
      </c>
      <c r="S34" s="21" t="str">
        <f t="shared" si="0"/>
        <v/>
      </c>
      <c r="T34" s="18" t="str">
        <f t="shared" si="1"/>
        <v/>
      </c>
      <c r="U34" s="18" t="str">
        <f>IF(OR($A34="",$J34=""),"",'Settings and Scoring Rules'!$B$4-$J34)</f>
        <v/>
      </c>
      <c r="V34" s="18" t="str">
        <f>IF(OR($A34="",N34&lt;&gt;1,$L34=""),"",MAX(0,'Settings and Scoring Rules'!$B$4-$L34))</f>
        <v/>
      </c>
      <c r="W34" s="8" t="str">
        <f>IF($A34="","",IF(N34&lt;&gt;1,"Inactive - "&amp;$G34,IF($L34="","NO NEXT ACTION",IF(V34&gt;0,"OVERDUE "&amp;V34&amp;"d",IF($L34-'Settings and Scoring Rules'!$B$4&lt;='Settings and Scoring Rules'!$B$7,"DUE IN "&amp;($L34-'Settings and Scoring Rules'!$B$4)&amp;"d",IF(N(U34)&gt;'Settings and Scoring Rules'!$B$8,"STALE","On track"))))))</f>
        <v/>
      </c>
      <c r="X34" s="22" t="str">
        <f t="shared" si="2"/>
        <v/>
      </c>
    </row>
    <row r="35" spans="1:24" x14ac:dyDescent="0.35">
      <c r="A35" s="17"/>
      <c r="B35" s="17"/>
      <c r="C35" s="17"/>
      <c r="D35" s="17"/>
      <c r="E35" s="8" t="str">
        <f>IF($D35="","",IFERROR(INDEX('Intermediary Directory'!$B$4:$B$28,MATCH($D35,'Intermediary Directory'!$A$4:$A$28,0)),"UNKNOWN ID"))</f>
        <v/>
      </c>
      <c r="F35" s="17"/>
      <c r="G35" s="17"/>
      <c r="H35" s="10"/>
      <c r="I35" s="11"/>
      <c r="J35" s="9"/>
      <c r="K35" s="17"/>
      <c r="L35" s="9"/>
      <c r="M35" s="20" t="str">
        <f>IF($A35="","",IFERROR(VLOOKUP($G35,'Settings and Scoring Rules'!$A$19:$D$28,3,FALSE),0))</f>
        <v/>
      </c>
      <c r="N35" s="18" t="str">
        <f>IF($A35="","",IFERROR(VLOOKUP($G35,'Settings and Scoring Rules'!$A$19:$D$28,4,FALSE),0))</f>
        <v/>
      </c>
      <c r="O35" s="19" t="str">
        <f>IF($A35="","",IF(AND($H35&gt;='Settings and Scoring Rules'!$B$5,$H35&lt;='Settings and Scoring Rules'!$B$6),1,IF(AND($H35&gt;='Settings and Scoring Rules'!$B$5*0.5,$H35&lt;='Settings and Scoring Rules'!$B$6*1.5),0.5,0)))</f>
        <v/>
      </c>
      <c r="P35" s="19" t="str">
        <f>IF($A35="","",IFERROR(VLOOKUP($F35,'Settings and Scoring Rules'!$A$31:$B$33,2,FALSE),0))</f>
        <v/>
      </c>
      <c r="Q35" s="18" t="str">
        <f>IF($A35="","",IFERROR(INDEX('Intermediary Directory'!$H$4:$H$28,MATCH($D35,'Intermediary Directory'!$A$4:$A$28,0)),1))</f>
        <v/>
      </c>
      <c r="R35" s="19" t="str">
        <f>IF($A35="","",ROUND(100*('Settings and Scoring Rules'!$B$11*M35+'Settings and Scoring Rules'!$B$12*($I35-1)/4+'Settings and Scoring Rules'!$B$13*O35+'Settings and Scoring Rules'!$B$14*P35+'Settings and Scoring Rules'!$B$15*(Q35-1)/4),1))</f>
        <v/>
      </c>
      <c r="S35" s="21" t="str">
        <f t="shared" si="0"/>
        <v/>
      </c>
      <c r="T35" s="18" t="str">
        <f t="shared" si="1"/>
        <v/>
      </c>
      <c r="U35" s="18" t="str">
        <f>IF(OR($A35="",$J35=""),"",'Settings and Scoring Rules'!$B$4-$J35)</f>
        <v/>
      </c>
      <c r="V35" s="18" t="str">
        <f>IF(OR($A35="",N35&lt;&gt;1,$L35=""),"",MAX(0,'Settings and Scoring Rules'!$B$4-$L35))</f>
        <v/>
      </c>
      <c r="W35" s="8" t="str">
        <f>IF($A35="","",IF(N35&lt;&gt;1,"Inactive - "&amp;$G35,IF($L35="","NO NEXT ACTION",IF(V35&gt;0,"OVERDUE "&amp;V35&amp;"d",IF($L35-'Settings and Scoring Rules'!$B$4&lt;='Settings and Scoring Rules'!$B$7,"DUE IN "&amp;($L35-'Settings and Scoring Rules'!$B$4)&amp;"d",IF(N(U35)&gt;'Settings and Scoring Rules'!$B$8,"STALE","On track"))))))</f>
        <v/>
      </c>
      <c r="X35" s="22" t="str">
        <f t="shared" si="2"/>
        <v/>
      </c>
    </row>
    <row r="36" spans="1:24" x14ac:dyDescent="0.35">
      <c r="A36" s="17"/>
      <c r="B36" s="17"/>
      <c r="C36" s="17"/>
      <c r="D36" s="17"/>
      <c r="E36" s="8" t="str">
        <f>IF($D36="","",IFERROR(INDEX('Intermediary Directory'!$B$4:$B$28,MATCH($D36,'Intermediary Directory'!$A$4:$A$28,0)),"UNKNOWN ID"))</f>
        <v/>
      </c>
      <c r="F36" s="17"/>
      <c r="G36" s="17"/>
      <c r="H36" s="10"/>
      <c r="I36" s="11"/>
      <c r="J36" s="9"/>
      <c r="K36" s="17"/>
      <c r="L36" s="9"/>
      <c r="M36" s="20" t="str">
        <f>IF($A36="","",IFERROR(VLOOKUP($G36,'Settings and Scoring Rules'!$A$19:$D$28,3,FALSE),0))</f>
        <v/>
      </c>
      <c r="N36" s="18" t="str">
        <f>IF($A36="","",IFERROR(VLOOKUP($G36,'Settings and Scoring Rules'!$A$19:$D$28,4,FALSE),0))</f>
        <v/>
      </c>
      <c r="O36" s="19" t="str">
        <f>IF($A36="","",IF(AND($H36&gt;='Settings and Scoring Rules'!$B$5,$H36&lt;='Settings and Scoring Rules'!$B$6),1,IF(AND($H36&gt;='Settings and Scoring Rules'!$B$5*0.5,$H36&lt;='Settings and Scoring Rules'!$B$6*1.5),0.5,0)))</f>
        <v/>
      </c>
      <c r="P36" s="19" t="str">
        <f>IF($A36="","",IFERROR(VLOOKUP($F36,'Settings and Scoring Rules'!$A$31:$B$33,2,FALSE),0))</f>
        <v/>
      </c>
      <c r="Q36" s="18" t="str">
        <f>IF($A36="","",IFERROR(INDEX('Intermediary Directory'!$H$4:$H$28,MATCH($D36,'Intermediary Directory'!$A$4:$A$28,0)),1))</f>
        <v/>
      </c>
      <c r="R36" s="19" t="str">
        <f>IF($A36="","",ROUND(100*('Settings and Scoring Rules'!$B$11*M36+'Settings and Scoring Rules'!$B$12*($I36-1)/4+'Settings and Scoring Rules'!$B$13*O36+'Settings and Scoring Rules'!$B$14*P36+'Settings and Scoring Rules'!$B$15*(Q36-1)/4),1))</f>
        <v/>
      </c>
      <c r="S36" s="21" t="str">
        <f t="shared" si="0"/>
        <v/>
      </c>
      <c r="T36" s="18" t="str">
        <f t="shared" si="1"/>
        <v/>
      </c>
      <c r="U36" s="18" t="str">
        <f>IF(OR($A36="",$J36=""),"",'Settings and Scoring Rules'!$B$4-$J36)</f>
        <v/>
      </c>
      <c r="V36" s="18" t="str">
        <f>IF(OR($A36="",N36&lt;&gt;1,$L36=""),"",MAX(0,'Settings and Scoring Rules'!$B$4-$L36))</f>
        <v/>
      </c>
      <c r="W36" s="8" t="str">
        <f>IF($A36="","",IF(N36&lt;&gt;1,"Inactive - "&amp;$G36,IF($L36="","NO NEXT ACTION",IF(V36&gt;0,"OVERDUE "&amp;V36&amp;"d",IF($L36-'Settings and Scoring Rules'!$B$4&lt;='Settings and Scoring Rules'!$B$7,"DUE IN "&amp;($L36-'Settings and Scoring Rules'!$B$4)&amp;"d",IF(N(U36)&gt;'Settings and Scoring Rules'!$B$8,"STALE","On track"))))))</f>
        <v/>
      </c>
      <c r="X36" s="22" t="str">
        <f t="shared" si="2"/>
        <v/>
      </c>
    </row>
    <row r="37" spans="1:24" x14ac:dyDescent="0.35">
      <c r="A37" s="17"/>
      <c r="B37" s="17"/>
      <c r="C37" s="17"/>
      <c r="D37" s="17"/>
      <c r="E37" s="8" t="str">
        <f>IF($D37="","",IFERROR(INDEX('Intermediary Directory'!$B$4:$B$28,MATCH($D37,'Intermediary Directory'!$A$4:$A$28,0)),"UNKNOWN ID"))</f>
        <v/>
      </c>
      <c r="F37" s="17"/>
      <c r="G37" s="17"/>
      <c r="H37" s="10"/>
      <c r="I37" s="11"/>
      <c r="J37" s="9"/>
      <c r="K37" s="17"/>
      <c r="L37" s="9"/>
      <c r="M37" s="20" t="str">
        <f>IF($A37="","",IFERROR(VLOOKUP($G37,'Settings and Scoring Rules'!$A$19:$D$28,3,FALSE),0))</f>
        <v/>
      </c>
      <c r="N37" s="18" t="str">
        <f>IF($A37="","",IFERROR(VLOOKUP($G37,'Settings and Scoring Rules'!$A$19:$D$28,4,FALSE),0))</f>
        <v/>
      </c>
      <c r="O37" s="19" t="str">
        <f>IF($A37="","",IF(AND($H37&gt;='Settings and Scoring Rules'!$B$5,$H37&lt;='Settings and Scoring Rules'!$B$6),1,IF(AND($H37&gt;='Settings and Scoring Rules'!$B$5*0.5,$H37&lt;='Settings and Scoring Rules'!$B$6*1.5),0.5,0)))</f>
        <v/>
      </c>
      <c r="P37" s="19" t="str">
        <f>IF($A37="","",IFERROR(VLOOKUP($F37,'Settings and Scoring Rules'!$A$31:$B$33,2,FALSE),0))</f>
        <v/>
      </c>
      <c r="Q37" s="18" t="str">
        <f>IF($A37="","",IFERROR(INDEX('Intermediary Directory'!$H$4:$H$28,MATCH($D37,'Intermediary Directory'!$A$4:$A$28,0)),1))</f>
        <v/>
      </c>
      <c r="R37" s="19" t="str">
        <f>IF($A37="","",ROUND(100*('Settings and Scoring Rules'!$B$11*M37+'Settings and Scoring Rules'!$B$12*($I37-1)/4+'Settings and Scoring Rules'!$B$13*O37+'Settings and Scoring Rules'!$B$14*P37+'Settings and Scoring Rules'!$B$15*(Q37-1)/4),1))</f>
        <v/>
      </c>
      <c r="S37" s="21" t="str">
        <f t="shared" si="0"/>
        <v/>
      </c>
      <c r="T37" s="18" t="str">
        <f t="shared" si="1"/>
        <v/>
      </c>
      <c r="U37" s="18" t="str">
        <f>IF(OR($A37="",$J37=""),"",'Settings and Scoring Rules'!$B$4-$J37)</f>
        <v/>
      </c>
      <c r="V37" s="18" t="str">
        <f>IF(OR($A37="",N37&lt;&gt;1,$L37=""),"",MAX(0,'Settings and Scoring Rules'!$B$4-$L37))</f>
        <v/>
      </c>
      <c r="W37" s="8" t="str">
        <f>IF($A37="","",IF(N37&lt;&gt;1,"Inactive - "&amp;$G37,IF($L37="","NO NEXT ACTION",IF(V37&gt;0,"OVERDUE "&amp;V37&amp;"d",IF($L37-'Settings and Scoring Rules'!$B$4&lt;='Settings and Scoring Rules'!$B$7,"DUE IN "&amp;($L37-'Settings and Scoring Rules'!$B$4)&amp;"d",IF(N(U37)&gt;'Settings and Scoring Rules'!$B$8,"STALE","On track"))))))</f>
        <v/>
      </c>
      <c r="X37" s="22" t="str">
        <f t="shared" si="2"/>
        <v/>
      </c>
    </row>
    <row r="38" spans="1:24" x14ac:dyDescent="0.35">
      <c r="A38" s="17"/>
      <c r="B38" s="17"/>
      <c r="C38" s="17"/>
      <c r="D38" s="17"/>
      <c r="E38" s="8" t="str">
        <f>IF($D38="","",IFERROR(INDEX('Intermediary Directory'!$B$4:$B$28,MATCH($D38,'Intermediary Directory'!$A$4:$A$28,0)),"UNKNOWN ID"))</f>
        <v/>
      </c>
      <c r="F38" s="17"/>
      <c r="G38" s="17"/>
      <c r="H38" s="10"/>
      <c r="I38" s="11"/>
      <c r="J38" s="9"/>
      <c r="K38" s="17"/>
      <c r="L38" s="9"/>
      <c r="M38" s="20" t="str">
        <f>IF($A38="","",IFERROR(VLOOKUP($G38,'Settings and Scoring Rules'!$A$19:$D$28,3,FALSE),0))</f>
        <v/>
      </c>
      <c r="N38" s="18" t="str">
        <f>IF($A38="","",IFERROR(VLOOKUP($G38,'Settings and Scoring Rules'!$A$19:$D$28,4,FALSE),0))</f>
        <v/>
      </c>
      <c r="O38" s="19" t="str">
        <f>IF($A38="","",IF(AND($H38&gt;='Settings and Scoring Rules'!$B$5,$H38&lt;='Settings and Scoring Rules'!$B$6),1,IF(AND($H38&gt;='Settings and Scoring Rules'!$B$5*0.5,$H38&lt;='Settings and Scoring Rules'!$B$6*1.5),0.5,0)))</f>
        <v/>
      </c>
      <c r="P38" s="19" t="str">
        <f>IF($A38="","",IFERROR(VLOOKUP($F38,'Settings and Scoring Rules'!$A$31:$B$33,2,FALSE),0))</f>
        <v/>
      </c>
      <c r="Q38" s="18" t="str">
        <f>IF($A38="","",IFERROR(INDEX('Intermediary Directory'!$H$4:$H$28,MATCH($D38,'Intermediary Directory'!$A$4:$A$28,0)),1))</f>
        <v/>
      </c>
      <c r="R38" s="19" t="str">
        <f>IF($A38="","",ROUND(100*('Settings and Scoring Rules'!$B$11*M38+'Settings and Scoring Rules'!$B$12*($I38-1)/4+'Settings and Scoring Rules'!$B$13*O38+'Settings and Scoring Rules'!$B$14*P38+'Settings and Scoring Rules'!$B$15*(Q38-1)/4),1))</f>
        <v/>
      </c>
      <c r="S38" s="21" t="str">
        <f t="shared" si="0"/>
        <v/>
      </c>
      <c r="T38" s="18" t="str">
        <f t="shared" si="1"/>
        <v/>
      </c>
      <c r="U38" s="18" t="str">
        <f>IF(OR($A38="",$J38=""),"",'Settings and Scoring Rules'!$B$4-$J38)</f>
        <v/>
      </c>
      <c r="V38" s="18" t="str">
        <f>IF(OR($A38="",N38&lt;&gt;1,$L38=""),"",MAX(0,'Settings and Scoring Rules'!$B$4-$L38))</f>
        <v/>
      </c>
      <c r="W38" s="8" t="str">
        <f>IF($A38="","",IF(N38&lt;&gt;1,"Inactive - "&amp;$G38,IF($L38="","NO NEXT ACTION",IF(V38&gt;0,"OVERDUE "&amp;V38&amp;"d",IF($L38-'Settings and Scoring Rules'!$B$4&lt;='Settings and Scoring Rules'!$B$7,"DUE IN "&amp;($L38-'Settings and Scoring Rules'!$B$4)&amp;"d",IF(N(U38)&gt;'Settings and Scoring Rules'!$B$8,"STALE","On track"))))))</f>
        <v/>
      </c>
      <c r="X38" s="22" t="str">
        <f t="shared" si="2"/>
        <v/>
      </c>
    </row>
    <row r="39" spans="1:24" x14ac:dyDescent="0.35">
      <c r="A39" s="17"/>
      <c r="B39" s="17"/>
      <c r="C39" s="17"/>
      <c r="D39" s="17"/>
      <c r="E39" s="8" t="str">
        <f>IF($D39="","",IFERROR(INDEX('Intermediary Directory'!$B$4:$B$28,MATCH($D39,'Intermediary Directory'!$A$4:$A$28,0)),"UNKNOWN ID"))</f>
        <v/>
      </c>
      <c r="F39" s="17"/>
      <c r="G39" s="17"/>
      <c r="H39" s="10"/>
      <c r="I39" s="11"/>
      <c r="J39" s="9"/>
      <c r="K39" s="17"/>
      <c r="L39" s="9"/>
      <c r="M39" s="20" t="str">
        <f>IF($A39="","",IFERROR(VLOOKUP($G39,'Settings and Scoring Rules'!$A$19:$D$28,3,FALSE),0))</f>
        <v/>
      </c>
      <c r="N39" s="18" t="str">
        <f>IF($A39="","",IFERROR(VLOOKUP($G39,'Settings and Scoring Rules'!$A$19:$D$28,4,FALSE),0))</f>
        <v/>
      </c>
      <c r="O39" s="19" t="str">
        <f>IF($A39="","",IF(AND($H39&gt;='Settings and Scoring Rules'!$B$5,$H39&lt;='Settings and Scoring Rules'!$B$6),1,IF(AND($H39&gt;='Settings and Scoring Rules'!$B$5*0.5,$H39&lt;='Settings and Scoring Rules'!$B$6*1.5),0.5,0)))</f>
        <v/>
      </c>
      <c r="P39" s="19" t="str">
        <f>IF($A39="","",IFERROR(VLOOKUP($F39,'Settings and Scoring Rules'!$A$31:$B$33,2,FALSE),0))</f>
        <v/>
      </c>
      <c r="Q39" s="18" t="str">
        <f>IF($A39="","",IFERROR(INDEX('Intermediary Directory'!$H$4:$H$28,MATCH($D39,'Intermediary Directory'!$A$4:$A$28,0)),1))</f>
        <v/>
      </c>
      <c r="R39" s="19" t="str">
        <f>IF($A39="","",ROUND(100*('Settings and Scoring Rules'!$B$11*M39+'Settings and Scoring Rules'!$B$12*($I39-1)/4+'Settings and Scoring Rules'!$B$13*O39+'Settings and Scoring Rules'!$B$14*P39+'Settings and Scoring Rules'!$B$15*(Q39-1)/4),1))</f>
        <v/>
      </c>
      <c r="S39" s="21" t="str">
        <f t="shared" si="0"/>
        <v/>
      </c>
      <c r="T39" s="18" t="str">
        <f t="shared" si="1"/>
        <v/>
      </c>
      <c r="U39" s="18" t="str">
        <f>IF(OR($A39="",$J39=""),"",'Settings and Scoring Rules'!$B$4-$J39)</f>
        <v/>
      </c>
      <c r="V39" s="18" t="str">
        <f>IF(OR($A39="",N39&lt;&gt;1,$L39=""),"",MAX(0,'Settings and Scoring Rules'!$B$4-$L39))</f>
        <v/>
      </c>
      <c r="W39" s="8" t="str">
        <f>IF($A39="","",IF(N39&lt;&gt;1,"Inactive - "&amp;$G39,IF($L39="","NO NEXT ACTION",IF(V39&gt;0,"OVERDUE "&amp;V39&amp;"d",IF($L39-'Settings and Scoring Rules'!$B$4&lt;='Settings and Scoring Rules'!$B$7,"DUE IN "&amp;($L39-'Settings and Scoring Rules'!$B$4)&amp;"d",IF(N(U39)&gt;'Settings and Scoring Rules'!$B$8,"STALE","On track"))))))</f>
        <v/>
      </c>
      <c r="X39" s="22" t="str">
        <f t="shared" si="2"/>
        <v/>
      </c>
    </row>
    <row r="40" spans="1:24" x14ac:dyDescent="0.35">
      <c r="A40" s="17"/>
      <c r="B40" s="17"/>
      <c r="C40" s="17"/>
      <c r="D40" s="17"/>
      <c r="E40" s="8" t="str">
        <f>IF($D40="","",IFERROR(INDEX('Intermediary Directory'!$B$4:$B$28,MATCH($D40,'Intermediary Directory'!$A$4:$A$28,0)),"UNKNOWN ID"))</f>
        <v/>
      </c>
      <c r="F40" s="17"/>
      <c r="G40" s="17"/>
      <c r="H40" s="10"/>
      <c r="I40" s="11"/>
      <c r="J40" s="9"/>
      <c r="K40" s="17"/>
      <c r="L40" s="9"/>
      <c r="M40" s="20" t="str">
        <f>IF($A40="","",IFERROR(VLOOKUP($G40,'Settings and Scoring Rules'!$A$19:$D$28,3,FALSE),0))</f>
        <v/>
      </c>
      <c r="N40" s="18" t="str">
        <f>IF($A40="","",IFERROR(VLOOKUP($G40,'Settings and Scoring Rules'!$A$19:$D$28,4,FALSE),0))</f>
        <v/>
      </c>
      <c r="O40" s="19" t="str">
        <f>IF($A40="","",IF(AND($H40&gt;='Settings and Scoring Rules'!$B$5,$H40&lt;='Settings and Scoring Rules'!$B$6),1,IF(AND($H40&gt;='Settings and Scoring Rules'!$B$5*0.5,$H40&lt;='Settings and Scoring Rules'!$B$6*1.5),0.5,0)))</f>
        <v/>
      </c>
      <c r="P40" s="19" t="str">
        <f>IF($A40="","",IFERROR(VLOOKUP($F40,'Settings and Scoring Rules'!$A$31:$B$33,2,FALSE),0))</f>
        <v/>
      </c>
      <c r="Q40" s="18" t="str">
        <f>IF($A40="","",IFERROR(INDEX('Intermediary Directory'!$H$4:$H$28,MATCH($D40,'Intermediary Directory'!$A$4:$A$28,0)),1))</f>
        <v/>
      </c>
      <c r="R40" s="19" t="str">
        <f>IF($A40="","",ROUND(100*('Settings and Scoring Rules'!$B$11*M40+'Settings and Scoring Rules'!$B$12*($I40-1)/4+'Settings and Scoring Rules'!$B$13*O40+'Settings and Scoring Rules'!$B$14*P40+'Settings and Scoring Rules'!$B$15*(Q40-1)/4),1))</f>
        <v/>
      </c>
      <c r="S40" s="21" t="str">
        <f t="shared" si="0"/>
        <v/>
      </c>
      <c r="T40" s="18" t="str">
        <f t="shared" si="1"/>
        <v/>
      </c>
      <c r="U40" s="18" t="str">
        <f>IF(OR($A40="",$J40=""),"",'Settings and Scoring Rules'!$B$4-$J40)</f>
        <v/>
      </c>
      <c r="V40" s="18" t="str">
        <f>IF(OR($A40="",N40&lt;&gt;1,$L40=""),"",MAX(0,'Settings and Scoring Rules'!$B$4-$L40))</f>
        <v/>
      </c>
      <c r="W40" s="8" t="str">
        <f>IF($A40="","",IF(N40&lt;&gt;1,"Inactive - "&amp;$G40,IF($L40="","NO NEXT ACTION",IF(V40&gt;0,"OVERDUE "&amp;V40&amp;"d",IF($L40-'Settings and Scoring Rules'!$B$4&lt;='Settings and Scoring Rules'!$B$7,"DUE IN "&amp;($L40-'Settings and Scoring Rules'!$B$4)&amp;"d",IF(N(U40)&gt;'Settings and Scoring Rules'!$B$8,"STALE","On track"))))))</f>
        <v/>
      </c>
      <c r="X40" s="22" t="str">
        <f t="shared" si="2"/>
        <v/>
      </c>
    </row>
    <row r="41" spans="1:24" x14ac:dyDescent="0.35">
      <c r="A41" s="17"/>
      <c r="B41" s="17"/>
      <c r="C41" s="17"/>
      <c r="D41" s="17"/>
      <c r="E41" s="8" t="str">
        <f>IF($D41="","",IFERROR(INDEX('Intermediary Directory'!$B$4:$B$28,MATCH($D41,'Intermediary Directory'!$A$4:$A$28,0)),"UNKNOWN ID"))</f>
        <v/>
      </c>
      <c r="F41" s="17"/>
      <c r="G41" s="17"/>
      <c r="H41" s="10"/>
      <c r="I41" s="11"/>
      <c r="J41" s="9"/>
      <c r="K41" s="17"/>
      <c r="L41" s="9"/>
      <c r="M41" s="20" t="str">
        <f>IF($A41="","",IFERROR(VLOOKUP($G41,'Settings and Scoring Rules'!$A$19:$D$28,3,FALSE),0))</f>
        <v/>
      </c>
      <c r="N41" s="18" t="str">
        <f>IF($A41="","",IFERROR(VLOOKUP($G41,'Settings and Scoring Rules'!$A$19:$D$28,4,FALSE),0))</f>
        <v/>
      </c>
      <c r="O41" s="19" t="str">
        <f>IF($A41="","",IF(AND($H41&gt;='Settings and Scoring Rules'!$B$5,$H41&lt;='Settings and Scoring Rules'!$B$6),1,IF(AND($H41&gt;='Settings and Scoring Rules'!$B$5*0.5,$H41&lt;='Settings and Scoring Rules'!$B$6*1.5),0.5,0)))</f>
        <v/>
      </c>
      <c r="P41" s="19" t="str">
        <f>IF($A41="","",IFERROR(VLOOKUP($F41,'Settings and Scoring Rules'!$A$31:$B$33,2,FALSE),0))</f>
        <v/>
      </c>
      <c r="Q41" s="18" t="str">
        <f>IF($A41="","",IFERROR(INDEX('Intermediary Directory'!$H$4:$H$28,MATCH($D41,'Intermediary Directory'!$A$4:$A$28,0)),1))</f>
        <v/>
      </c>
      <c r="R41" s="19" t="str">
        <f>IF($A41="","",ROUND(100*('Settings and Scoring Rules'!$B$11*M41+'Settings and Scoring Rules'!$B$12*($I41-1)/4+'Settings and Scoring Rules'!$B$13*O41+'Settings and Scoring Rules'!$B$14*P41+'Settings and Scoring Rules'!$B$15*(Q41-1)/4),1))</f>
        <v/>
      </c>
      <c r="S41" s="21" t="str">
        <f t="shared" si="0"/>
        <v/>
      </c>
      <c r="T41" s="18" t="str">
        <f t="shared" si="1"/>
        <v/>
      </c>
      <c r="U41" s="18" t="str">
        <f>IF(OR($A41="",$J41=""),"",'Settings and Scoring Rules'!$B$4-$J41)</f>
        <v/>
      </c>
      <c r="V41" s="18" t="str">
        <f>IF(OR($A41="",N41&lt;&gt;1,$L41=""),"",MAX(0,'Settings and Scoring Rules'!$B$4-$L41))</f>
        <v/>
      </c>
      <c r="W41" s="8" t="str">
        <f>IF($A41="","",IF(N41&lt;&gt;1,"Inactive - "&amp;$G41,IF($L41="","NO NEXT ACTION",IF(V41&gt;0,"OVERDUE "&amp;V41&amp;"d",IF($L41-'Settings and Scoring Rules'!$B$4&lt;='Settings and Scoring Rules'!$B$7,"DUE IN "&amp;($L41-'Settings and Scoring Rules'!$B$4)&amp;"d",IF(N(U41)&gt;'Settings and Scoring Rules'!$B$8,"STALE","On track"))))))</f>
        <v/>
      </c>
      <c r="X41" s="22" t="str">
        <f t="shared" si="2"/>
        <v/>
      </c>
    </row>
    <row r="42" spans="1:24" x14ac:dyDescent="0.35">
      <c r="A42" s="17"/>
      <c r="B42" s="17"/>
      <c r="C42" s="17"/>
      <c r="D42" s="17"/>
      <c r="E42" s="8" t="str">
        <f>IF($D42="","",IFERROR(INDEX('Intermediary Directory'!$B$4:$B$28,MATCH($D42,'Intermediary Directory'!$A$4:$A$28,0)),"UNKNOWN ID"))</f>
        <v/>
      </c>
      <c r="F42" s="17"/>
      <c r="G42" s="17"/>
      <c r="H42" s="10"/>
      <c r="I42" s="11"/>
      <c r="J42" s="9"/>
      <c r="K42" s="17"/>
      <c r="L42" s="9"/>
      <c r="M42" s="20" t="str">
        <f>IF($A42="","",IFERROR(VLOOKUP($G42,'Settings and Scoring Rules'!$A$19:$D$28,3,FALSE),0))</f>
        <v/>
      </c>
      <c r="N42" s="18" t="str">
        <f>IF($A42="","",IFERROR(VLOOKUP($G42,'Settings and Scoring Rules'!$A$19:$D$28,4,FALSE),0))</f>
        <v/>
      </c>
      <c r="O42" s="19" t="str">
        <f>IF($A42="","",IF(AND($H42&gt;='Settings and Scoring Rules'!$B$5,$H42&lt;='Settings and Scoring Rules'!$B$6),1,IF(AND($H42&gt;='Settings and Scoring Rules'!$B$5*0.5,$H42&lt;='Settings and Scoring Rules'!$B$6*1.5),0.5,0)))</f>
        <v/>
      </c>
      <c r="P42" s="19" t="str">
        <f>IF($A42="","",IFERROR(VLOOKUP($F42,'Settings and Scoring Rules'!$A$31:$B$33,2,FALSE),0))</f>
        <v/>
      </c>
      <c r="Q42" s="18" t="str">
        <f>IF($A42="","",IFERROR(INDEX('Intermediary Directory'!$H$4:$H$28,MATCH($D42,'Intermediary Directory'!$A$4:$A$28,0)),1))</f>
        <v/>
      </c>
      <c r="R42" s="19" t="str">
        <f>IF($A42="","",ROUND(100*('Settings and Scoring Rules'!$B$11*M42+'Settings and Scoring Rules'!$B$12*($I42-1)/4+'Settings and Scoring Rules'!$B$13*O42+'Settings and Scoring Rules'!$B$14*P42+'Settings and Scoring Rules'!$B$15*(Q42-1)/4),1))</f>
        <v/>
      </c>
      <c r="S42" s="21" t="str">
        <f t="shared" si="0"/>
        <v/>
      </c>
      <c r="T42" s="18" t="str">
        <f t="shared" si="1"/>
        <v/>
      </c>
      <c r="U42" s="18" t="str">
        <f>IF(OR($A42="",$J42=""),"",'Settings and Scoring Rules'!$B$4-$J42)</f>
        <v/>
      </c>
      <c r="V42" s="18" t="str">
        <f>IF(OR($A42="",N42&lt;&gt;1,$L42=""),"",MAX(0,'Settings and Scoring Rules'!$B$4-$L42))</f>
        <v/>
      </c>
      <c r="W42" s="8" t="str">
        <f>IF($A42="","",IF(N42&lt;&gt;1,"Inactive - "&amp;$G42,IF($L42="","NO NEXT ACTION",IF(V42&gt;0,"OVERDUE "&amp;V42&amp;"d",IF($L42-'Settings and Scoring Rules'!$B$4&lt;='Settings and Scoring Rules'!$B$7,"DUE IN "&amp;($L42-'Settings and Scoring Rules'!$B$4)&amp;"d",IF(N(U42)&gt;'Settings and Scoring Rules'!$B$8,"STALE","On track"))))))</f>
        <v/>
      </c>
      <c r="X42" s="22" t="str">
        <f t="shared" si="2"/>
        <v/>
      </c>
    </row>
    <row r="43" spans="1:24" x14ac:dyDescent="0.35">
      <c r="A43" s="17"/>
      <c r="B43" s="17"/>
      <c r="C43" s="17"/>
      <c r="D43" s="17"/>
      <c r="E43" s="8" t="str">
        <f>IF($D43="","",IFERROR(INDEX('Intermediary Directory'!$B$4:$B$28,MATCH($D43,'Intermediary Directory'!$A$4:$A$28,0)),"UNKNOWN ID"))</f>
        <v/>
      </c>
      <c r="F43" s="17"/>
      <c r="G43" s="17"/>
      <c r="H43" s="10"/>
      <c r="I43" s="11"/>
      <c r="J43" s="9"/>
      <c r="K43" s="17"/>
      <c r="L43" s="9"/>
      <c r="M43" s="20" t="str">
        <f>IF($A43="","",IFERROR(VLOOKUP($G43,'Settings and Scoring Rules'!$A$19:$D$28,3,FALSE),0))</f>
        <v/>
      </c>
      <c r="N43" s="18" t="str">
        <f>IF($A43="","",IFERROR(VLOOKUP($G43,'Settings and Scoring Rules'!$A$19:$D$28,4,FALSE),0))</f>
        <v/>
      </c>
      <c r="O43" s="19" t="str">
        <f>IF($A43="","",IF(AND($H43&gt;='Settings and Scoring Rules'!$B$5,$H43&lt;='Settings and Scoring Rules'!$B$6),1,IF(AND($H43&gt;='Settings and Scoring Rules'!$B$5*0.5,$H43&lt;='Settings and Scoring Rules'!$B$6*1.5),0.5,0)))</f>
        <v/>
      </c>
      <c r="P43" s="19" t="str">
        <f>IF($A43="","",IFERROR(VLOOKUP($F43,'Settings and Scoring Rules'!$A$31:$B$33,2,FALSE),0))</f>
        <v/>
      </c>
      <c r="Q43" s="18" t="str">
        <f>IF($A43="","",IFERROR(INDEX('Intermediary Directory'!$H$4:$H$28,MATCH($D43,'Intermediary Directory'!$A$4:$A$28,0)),1))</f>
        <v/>
      </c>
      <c r="R43" s="19" t="str">
        <f>IF($A43="","",ROUND(100*('Settings and Scoring Rules'!$B$11*M43+'Settings and Scoring Rules'!$B$12*($I43-1)/4+'Settings and Scoring Rules'!$B$13*O43+'Settings and Scoring Rules'!$B$14*P43+'Settings and Scoring Rules'!$B$15*(Q43-1)/4),1))</f>
        <v/>
      </c>
      <c r="S43" s="21" t="str">
        <f t="shared" si="0"/>
        <v/>
      </c>
      <c r="T43" s="18" t="str">
        <f t="shared" si="1"/>
        <v/>
      </c>
      <c r="U43" s="18" t="str">
        <f>IF(OR($A43="",$J43=""),"",'Settings and Scoring Rules'!$B$4-$J43)</f>
        <v/>
      </c>
      <c r="V43" s="18" t="str">
        <f>IF(OR($A43="",N43&lt;&gt;1,$L43=""),"",MAX(0,'Settings and Scoring Rules'!$B$4-$L43))</f>
        <v/>
      </c>
      <c r="W43" s="8" t="str">
        <f>IF($A43="","",IF(N43&lt;&gt;1,"Inactive - "&amp;$G43,IF($L43="","NO NEXT ACTION",IF(V43&gt;0,"OVERDUE "&amp;V43&amp;"d",IF($L43-'Settings and Scoring Rules'!$B$4&lt;='Settings and Scoring Rules'!$B$7,"DUE IN "&amp;($L43-'Settings and Scoring Rules'!$B$4)&amp;"d",IF(N(U43)&gt;'Settings and Scoring Rules'!$B$8,"STALE","On track"))))))</f>
        <v/>
      </c>
      <c r="X43" s="22" t="str">
        <f t="shared" si="2"/>
        <v/>
      </c>
    </row>
  </sheetData>
  <conditionalFormatting sqref="W4:W43">
    <cfRule type="expression" dxfId="6" priority="1">
      <formula>LEFT($W4,7)="OVERDUE"</formula>
    </cfRule>
    <cfRule type="expression" dxfId="5" priority="2">
      <formula>LEFT($W4,6)="DUE IN"</formula>
    </cfRule>
    <cfRule type="expression" dxfId="4" priority="3">
      <formula>LEFT($W4,8)="Inactive"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'Settings and Scoring Rules'!$A$19:$A$28</xm:f>
          </x14:formula1>
          <xm:sqref>G4:G43</xm:sqref>
        </x14:dataValidation>
        <x14:dataValidation type="list" allowBlank="1" xr:uid="{00000000-0002-0000-0300-000001000000}">
          <x14:formula1>
            <xm:f>'Settings and Scoring Rules'!$A$31:$A$33</xm:f>
          </x14:formula1>
          <xm:sqref>F4:F43</xm:sqref>
        </x14:dataValidation>
        <x14:dataValidation type="list" allowBlank="1" xr:uid="{00000000-0002-0000-0300-000002000000}">
          <x14:formula1>
            <xm:f>'Intermediary Directory'!$A$4:$A$28</xm:f>
          </x14:formula1>
          <xm:sqref>D4:D43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2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9" customWidth="1"/>
    <col min="2" max="2" width="16" customWidth="1"/>
    <col min="3" max="4" width="14" customWidth="1"/>
    <col min="5" max="5" width="30" customWidth="1"/>
    <col min="6" max="6" width="13" customWidth="1"/>
    <col min="7" max="7" width="10" customWidth="1"/>
    <col min="8" max="8" width="20" customWidth="1"/>
    <col min="9" max="9" width="18" customWidth="1"/>
    <col min="10" max="10" width="10" customWidth="1"/>
    <col min="11" max="11" width="24" customWidth="1"/>
  </cols>
  <sheetData>
    <row r="1" spans="1:11" ht="18.5" x14ac:dyDescent="0.45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5">
      <c r="A2" s="3" t="s">
        <v>251</v>
      </c>
    </row>
    <row r="3" spans="1:11" ht="15.5" x14ac:dyDescent="0.35">
      <c r="A3" s="4" t="s">
        <v>252</v>
      </c>
    </row>
    <row r="4" spans="1:11" ht="29" x14ac:dyDescent="0.35">
      <c r="A4" s="5" t="s">
        <v>125</v>
      </c>
      <c r="B4" s="5" t="s">
        <v>126</v>
      </c>
      <c r="C4" s="5" t="s">
        <v>253</v>
      </c>
      <c r="D4" s="5" t="s">
        <v>254</v>
      </c>
      <c r="E4" s="5" t="s">
        <v>255</v>
      </c>
      <c r="F4" s="5" t="s">
        <v>256</v>
      </c>
      <c r="G4" s="5" t="s">
        <v>257</v>
      </c>
      <c r="H4" s="5" t="s">
        <v>212</v>
      </c>
      <c r="I4" s="5" t="s">
        <v>258</v>
      </c>
      <c r="J4" s="5" t="s">
        <v>136</v>
      </c>
      <c r="K4" s="5" t="s">
        <v>259</v>
      </c>
    </row>
    <row r="5" spans="1:11" x14ac:dyDescent="0.35">
      <c r="A5" s="8" t="str">
        <f>IF('Intermediary Directory'!A4="","",'Intermediary Directory'!A4)</f>
        <v>I01</v>
      </c>
      <c r="B5" s="8" t="str">
        <f>IF(A5="","",'Intermediary Directory'!B4)</f>
        <v>Banker A</v>
      </c>
      <c r="C5" s="8" t="str">
        <f>IF(A5="","",'Intermediary Directory'!G4)</f>
        <v>A</v>
      </c>
      <c r="D5" s="18">
        <f>IF(A5="","",IFERROR(VLOOKUP(C5,'Settings and Scoring Rules'!$A$36:$B$38,2,FALSE),30))</f>
        <v>14</v>
      </c>
      <c r="E5" s="23">
        <f>IF(A5="","",'Intermediary Directory'!I4)</f>
        <v>46293</v>
      </c>
      <c r="F5" s="23">
        <f t="shared" ref="F5:F29" si="0">IF(A5="","",E5+D5)</f>
        <v>46307</v>
      </c>
      <c r="G5" s="18">
        <f>IF(A5="","",F5-'Settings and Scoring Rules'!$B$4)</f>
        <v>8</v>
      </c>
      <c r="H5" s="18">
        <f t="shared" ref="H5:H29" si="1">IF(A5="","",MAX(0,-G5))</f>
        <v>0</v>
      </c>
      <c r="I5" s="8" t="str">
        <f>IF(A5="","",IF(H5&gt;0,"OVERDUE "&amp;H5&amp;"d",IF(G5&lt;='Settings and Scoring Rules'!$B$7,"DUE IN "&amp;G5&amp;"d","On track")))</f>
        <v>On track</v>
      </c>
      <c r="J5" s="18">
        <f>IF(A5="","",'Intermediary Directory'!L4)</f>
        <v>1</v>
      </c>
      <c r="K5" s="8" t="str">
        <f>IF(A5="","",IF(H5&gt;0,"Call this week",IF(G5&lt;='Settings and Scoring Rules'!$B$7,"Touch by "&amp;TEXT(F5,"yyyy-mm-dd"),"Next touch "&amp;TEXT(F5,"yyyy-mm-dd"))))</f>
        <v>Next touch 2026-10-12</v>
      </c>
    </row>
    <row r="6" spans="1:11" x14ac:dyDescent="0.35">
      <c r="A6" s="8" t="str">
        <f>IF('Intermediary Directory'!A5="","",'Intermediary Directory'!A5)</f>
        <v>I02</v>
      </c>
      <c r="B6" s="8" t="str">
        <f>IF(A6="","",'Intermediary Directory'!B5)</f>
        <v>Banker B</v>
      </c>
      <c r="C6" s="8" t="str">
        <f>IF(A6="","",'Intermediary Directory'!G5)</f>
        <v>A</v>
      </c>
      <c r="D6" s="18">
        <f>IF(A6="","",IFERROR(VLOOKUP(C6,'Settings and Scoring Rules'!$A$36:$B$38,2,FALSE),30))</f>
        <v>14</v>
      </c>
      <c r="E6" s="23">
        <f>IF(A6="","",'Intermediary Directory'!I5)</f>
        <v>46275</v>
      </c>
      <c r="F6" s="23">
        <f t="shared" si="0"/>
        <v>46289</v>
      </c>
      <c r="G6" s="18">
        <f>IF(A6="","",F6-'Settings and Scoring Rules'!$B$4)</f>
        <v>-10</v>
      </c>
      <c r="H6" s="18">
        <f t="shared" si="1"/>
        <v>10</v>
      </c>
      <c r="I6" s="8" t="str">
        <f>IF(A6="","",IF(H6&gt;0,"OVERDUE "&amp;H6&amp;"d",IF(G6&lt;='Settings and Scoring Rules'!$B$7,"DUE IN "&amp;G6&amp;"d","On track")))</f>
        <v>OVERDUE 10d</v>
      </c>
      <c r="J6" s="18">
        <f>IF(A6="","",'Intermediary Directory'!L5)</f>
        <v>1</v>
      </c>
      <c r="K6" s="8" t="str">
        <f>IF(A6="","",IF(H6&gt;0,"Call this week",IF(G6&lt;='Settings and Scoring Rules'!$B$7,"Touch by "&amp;TEXT(F6,"yyyy-mm-dd"),"Next touch "&amp;TEXT(F6,"yyyy-mm-dd"))))</f>
        <v>Call this week</v>
      </c>
    </row>
    <row r="7" spans="1:11" x14ac:dyDescent="0.35">
      <c r="A7" s="8" t="str">
        <f>IF('Intermediary Directory'!A6="","",'Intermediary Directory'!A6)</f>
        <v>I03</v>
      </c>
      <c r="B7" s="8" t="str">
        <f>IF(A7="","",'Intermediary Directory'!B6)</f>
        <v>Broker C</v>
      </c>
      <c r="C7" s="8" t="str">
        <f>IF(A7="","",'Intermediary Directory'!G6)</f>
        <v>B</v>
      </c>
      <c r="D7" s="18">
        <f>IF(A7="","",IFERROR(VLOOKUP(C7,'Settings and Scoring Rules'!$A$36:$B$38,2,FALSE),30))</f>
        <v>30</v>
      </c>
      <c r="E7" s="23">
        <f>IF(A7="","",'Intermediary Directory'!I6)</f>
        <v>46254</v>
      </c>
      <c r="F7" s="23">
        <f t="shared" si="0"/>
        <v>46284</v>
      </c>
      <c r="G7" s="18">
        <f>IF(A7="","",F7-'Settings and Scoring Rules'!$B$4)</f>
        <v>-15</v>
      </c>
      <c r="H7" s="18">
        <f t="shared" si="1"/>
        <v>15</v>
      </c>
      <c r="I7" s="8" t="str">
        <f>IF(A7="","",IF(H7&gt;0,"OVERDUE "&amp;H7&amp;"d",IF(G7&lt;='Settings and Scoring Rules'!$B$7,"DUE IN "&amp;G7&amp;"d","On track")))</f>
        <v>OVERDUE 15d</v>
      </c>
      <c r="J7" s="18">
        <f>IF(A7="","",'Intermediary Directory'!L6)</f>
        <v>2</v>
      </c>
      <c r="K7" s="8" t="str">
        <f>IF(A7="","",IF(H7&gt;0,"Call this week",IF(G7&lt;='Settings and Scoring Rules'!$B$7,"Touch by "&amp;TEXT(F7,"yyyy-mm-dd"),"Next touch "&amp;TEXT(F7,"yyyy-mm-dd"))))</f>
        <v>Call this week</v>
      </c>
    </row>
    <row r="8" spans="1:11" x14ac:dyDescent="0.35">
      <c r="A8" s="8" t="str">
        <f>IF('Intermediary Directory'!A7="","",'Intermediary Directory'!A7)</f>
        <v>I04</v>
      </c>
      <c r="B8" s="8" t="str">
        <f>IF(A8="","",'Intermediary Directory'!B7)</f>
        <v>Broker D</v>
      </c>
      <c r="C8" s="8" t="str">
        <f>IF(A8="","",'Intermediary Directory'!G7)</f>
        <v>B</v>
      </c>
      <c r="D8" s="18">
        <f>IF(A8="","",IFERROR(VLOOKUP(C8,'Settings and Scoring Rules'!$A$36:$B$38,2,FALSE),30))</f>
        <v>30</v>
      </c>
      <c r="E8" s="23">
        <f>IF(A8="","",'Intermediary Directory'!I7)</f>
        <v>46287</v>
      </c>
      <c r="F8" s="23">
        <f t="shared" si="0"/>
        <v>46317</v>
      </c>
      <c r="G8" s="18">
        <f>IF(A8="","",F8-'Settings and Scoring Rules'!$B$4)</f>
        <v>18</v>
      </c>
      <c r="H8" s="18">
        <f t="shared" si="1"/>
        <v>0</v>
      </c>
      <c r="I8" s="8" t="str">
        <f>IF(A8="","",IF(H8&gt;0,"OVERDUE "&amp;H8&amp;"d",IF(G8&lt;='Settings and Scoring Rules'!$B$7,"DUE IN "&amp;G8&amp;"d","On track")))</f>
        <v>On track</v>
      </c>
      <c r="J8" s="18">
        <f>IF(A8="","",'Intermediary Directory'!L7)</f>
        <v>1</v>
      </c>
      <c r="K8" s="8" t="str">
        <f>IF(A8="","",IF(H8&gt;0,"Call this week",IF(G8&lt;='Settings and Scoring Rules'!$B$7,"Touch by "&amp;TEXT(F8,"yyyy-mm-dd"),"Next touch "&amp;TEXT(F8,"yyyy-mm-dd"))))</f>
        <v>Next touch 2026-10-22</v>
      </c>
    </row>
    <row r="9" spans="1:11" x14ac:dyDescent="0.35">
      <c r="A9" s="8" t="str">
        <f>IF('Intermediary Directory'!A8="","",'Intermediary Directory'!A8)</f>
        <v>I05</v>
      </c>
      <c r="B9" s="8" t="str">
        <f>IF(A9="","",'Intermediary Directory'!B8)</f>
        <v>Advisor E</v>
      </c>
      <c r="C9" s="8" t="str">
        <f>IF(A9="","",'Intermediary Directory'!G8)</f>
        <v>A</v>
      </c>
      <c r="D9" s="18">
        <f>IF(A9="","",IFERROR(VLOOKUP(C9,'Settings and Scoring Rules'!$A$36:$B$38,2,FALSE),30))</f>
        <v>14</v>
      </c>
      <c r="E9" s="23">
        <f>IF(A9="","",'Intermediary Directory'!I8)</f>
        <v>46288</v>
      </c>
      <c r="F9" s="23">
        <f t="shared" si="0"/>
        <v>46302</v>
      </c>
      <c r="G9" s="18">
        <f>IF(A9="","",F9-'Settings and Scoring Rules'!$B$4)</f>
        <v>3</v>
      </c>
      <c r="H9" s="18">
        <f t="shared" si="1"/>
        <v>0</v>
      </c>
      <c r="I9" s="8" t="str">
        <f>IF(A9="","",IF(H9&gt;0,"OVERDUE "&amp;H9&amp;"d",IF(G9&lt;='Settings and Scoring Rules'!$B$7,"DUE IN "&amp;G9&amp;"d","On track")))</f>
        <v>DUE IN 3d</v>
      </c>
      <c r="J9" s="18">
        <f>IF(A9="","",'Intermediary Directory'!L8)</f>
        <v>1</v>
      </c>
      <c r="K9" s="8" t="str">
        <f>IF(A9="","",IF(H9&gt;0,"Call this week",IF(G9&lt;='Settings and Scoring Rules'!$B$7,"Touch by "&amp;TEXT(F9,"yyyy-mm-dd"),"Next touch "&amp;TEXT(F9,"yyyy-mm-dd"))))</f>
        <v>Touch by 2026-10-07</v>
      </c>
    </row>
    <row r="10" spans="1:11" x14ac:dyDescent="0.35">
      <c r="A10" s="8" t="str">
        <f>IF('Intermediary Directory'!A9="","",'Intermediary Directory'!A9)</f>
        <v>I06</v>
      </c>
      <c r="B10" s="8" t="str">
        <f>IF(A10="","",'Intermediary Directory'!B9)</f>
        <v>CPA F</v>
      </c>
      <c r="C10" s="8" t="str">
        <f>IF(A10="","",'Intermediary Directory'!G9)</f>
        <v>C</v>
      </c>
      <c r="D10" s="18">
        <f>IF(A10="","",IFERROR(VLOOKUP(C10,'Settings and Scoring Rules'!$A$36:$B$38,2,FALSE),30))</f>
        <v>60</v>
      </c>
      <c r="E10" s="23">
        <f>IF(A10="","",'Intermediary Directory'!I9)</f>
        <v>46218</v>
      </c>
      <c r="F10" s="23">
        <f t="shared" si="0"/>
        <v>46278</v>
      </c>
      <c r="G10" s="18">
        <f>IF(A10="","",F10-'Settings and Scoring Rules'!$B$4)</f>
        <v>-21</v>
      </c>
      <c r="H10" s="18">
        <f t="shared" si="1"/>
        <v>21</v>
      </c>
      <c r="I10" s="8" t="str">
        <f>IF(A10="","",IF(H10&gt;0,"OVERDUE "&amp;H10&amp;"d",IF(G10&lt;='Settings and Scoring Rules'!$B$7,"DUE IN "&amp;G10&amp;"d","On track")))</f>
        <v>OVERDUE 21d</v>
      </c>
      <c r="J10" s="18">
        <f>IF(A10="","",'Intermediary Directory'!L9)</f>
        <v>1</v>
      </c>
      <c r="K10" s="8" t="str">
        <f>IF(A10="","",IF(H10&gt;0,"Call this week",IF(G10&lt;='Settings and Scoring Rules'!$B$7,"Touch by "&amp;TEXT(F10,"yyyy-mm-dd"),"Next touch "&amp;TEXT(F10,"yyyy-mm-dd"))))</f>
        <v>Call this week</v>
      </c>
    </row>
    <row r="11" spans="1:11" x14ac:dyDescent="0.35">
      <c r="A11" s="8" t="str">
        <f>IF('Intermediary Directory'!A10="","",'Intermediary Directory'!A10)</f>
        <v>I07</v>
      </c>
      <c r="B11" s="8" t="str">
        <f>IF(A11="","",'Intermediary Directory'!B10)</f>
        <v>Attorney G</v>
      </c>
      <c r="C11" s="8" t="str">
        <f>IF(A11="","",'Intermediary Directory'!G10)</f>
        <v>C</v>
      </c>
      <c r="D11" s="18">
        <f>IF(A11="","",IFERROR(VLOOKUP(C11,'Settings and Scoring Rules'!$A$36:$B$38,2,FALSE),30))</f>
        <v>60</v>
      </c>
      <c r="E11" s="23">
        <f>IF(A11="","",'Intermediary Directory'!I10)</f>
        <v>46266</v>
      </c>
      <c r="F11" s="23">
        <f t="shared" si="0"/>
        <v>46326</v>
      </c>
      <c r="G11" s="18">
        <f>IF(A11="","",F11-'Settings and Scoring Rules'!$B$4)</f>
        <v>27</v>
      </c>
      <c r="H11" s="18">
        <f t="shared" si="1"/>
        <v>0</v>
      </c>
      <c r="I11" s="8" t="str">
        <f>IF(A11="","",IF(H11&gt;0,"OVERDUE "&amp;H11&amp;"d",IF(G11&lt;='Settings and Scoring Rules'!$B$7,"DUE IN "&amp;G11&amp;"d","On track")))</f>
        <v>On track</v>
      </c>
      <c r="J11" s="18">
        <f>IF(A11="","",'Intermediary Directory'!L10)</f>
        <v>1</v>
      </c>
      <c r="K11" s="8" t="str">
        <f>IF(A11="","",IF(H11&gt;0,"Call this week",IF(G11&lt;='Settings and Scoring Rules'!$B$7,"Touch by "&amp;TEXT(F11,"yyyy-mm-dd"),"Next touch "&amp;TEXT(F11,"yyyy-mm-dd"))))</f>
        <v>Next touch 2026-10-31</v>
      </c>
    </row>
    <row r="12" spans="1:11" x14ac:dyDescent="0.35">
      <c r="A12" s="8" t="str">
        <f>IF('Intermediary Directory'!A11="","",'Intermediary Directory'!A11)</f>
        <v>I08</v>
      </c>
      <c r="B12" s="8" t="str">
        <f>IF(A12="","",'Intermediary Directory'!B11)</f>
        <v>Operator H</v>
      </c>
      <c r="C12" s="8" t="str">
        <f>IF(A12="","",'Intermediary Directory'!G11)</f>
        <v>B</v>
      </c>
      <c r="D12" s="18">
        <f>IF(A12="","",IFERROR(VLOOKUP(C12,'Settings and Scoring Rules'!$A$36:$B$38,2,FALSE),30))</f>
        <v>30</v>
      </c>
      <c r="E12" s="23">
        <f>IF(A12="","",'Intermediary Directory'!I11)</f>
        <v>46295</v>
      </c>
      <c r="F12" s="23">
        <f t="shared" si="0"/>
        <v>46325</v>
      </c>
      <c r="G12" s="18">
        <f>IF(A12="","",F12-'Settings and Scoring Rules'!$B$4)</f>
        <v>26</v>
      </c>
      <c r="H12" s="18">
        <f t="shared" si="1"/>
        <v>0</v>
      </c>
      <c r="I12" s="8" t="str">
        <f>IF(A12="","",IF(H12&gt;0,"OVERDUE "&amp;H12&amp;"d",IF(G12&lt;='Settings and Scoring Rules'!$B$7,"DUE IN "&amp;G12&amp;"d","On track")))</f>
        <v>On track</v>
      </c>
      <c r="J12" s="18">
        <f>IF(A12="","",'Intermediary Directory'!L11)</f>
        <v>1</v>
      </c>
      <c r="K12" s="8" t="str">
        <f>IF(A12="","",IF(H12&gt;0,"Call this week",IF(G12&lt;='Settings and Scoring Rules'!$B$7,"Touch by "&amp;TEXT(F12,"yyyy-mm-dd"),"Next touch "&amp;TEXT(F12,"yyyy-mm-dd"))))</f>
        <v>Next touch 2026-10-30</v>
      </c>
    </row>
    <row r="13" spans="1:11" x14ac:dyDescent="0.35">
      <c r="A13" s="8" t="str">
        <f>IF('Intermediary Directory'!A12="","",'Intermediary Directory'!A12)</f>
        <v>I09</v>
      </c>
      <c r="B13" s="8" t="str">
        <f>IF(A13="","",'Intermediary Directory'!B12)</f>
        <v>Banker I</v>
      </c>
      <c r="C13" s="8" t="str">
        <f>IF(A13="","",'Intermediary Directory'!G12)</f>
        <v>B</v>
      </c>
      <c r="D13" s="18">
        <f>IF(A13="","",IFERROR(VLOOKUP(C13,'Settings and Scoring Rules'!$A$36:$B$38,2,FALSE),30))</f>
        <v>30</v>
      </c>
      <c r="E13" s="23">
        <f>IF(A13="","",'Intermediary Directory'!I12)</f>
        <v>46203</v>
      </c>
      <c r="F13" s="23">
        <f t="shared" si="0"/>
        <v>46233</v>
      </c>
      <c r="G13" s="18">
        <f>IF(A13="","",F13-'Settings and Scoring Rules'!$B$4)</f>
        <v>-66</v>
      </c>
      <c r="H13" s="18">
        <f t="shared" si="1"/>
        <v>66</v>
      </c>
      <c r="I13" s="8" t="str">
        <f>IF(A13="","",IF(H13&gt;0,"OVERDUE "&amp;H13&amp;"d",IF(G13&lt;='Settings and Scoring Rules'!$B$7,"DUE IN "&amp;G13&amp;"d","On track")))</f>
        <v>OVERDUE 66d</v>
      </c>
      <c r="J13" s="18">
        <f>IF(A13="","",'Intermediary Directory'!L12)</f>
        <v>0</v>
      </c>
      <c r="K13" s="8" t="str">
        <f>IF(A13="","",IF(H13&gt;0,"Call this week",IF(G13&lt;='Settings and Scoring Rules'!$B$7,"Touch by "&amp;TEXT(F13,"yyyy-mm-dd"),"Next touch "&amp;TEXT(F13,"yyyy-mm-dd"))))</f>
        <v>Call this week</v>
      </c>
    </row>
    <row r="14" spans="1:11" x14ac:dyDescent="0.35">
      <c r="A14" s="8" t="str">
        <f>IF('Intermediary Directory'!A13="","",'Intermediary Directory'!A13)</f>
        <v>I10</v>
      </c>
      <c r="B14" s="8" t="str">
        <f>IF(A14="","",'Intermediary Directory'!B13)</f>
        <v>Founder J</v>
      </c>
      <c r="C14" s="8" t="str">
        <f>IF(A14="","",'Intermediary Directory'!G13)</f>
        <v>C</v>
      </c>
      <c r="D14" s="18">
        <f>IF(A14="","",IFERROR(VLOOKUP(C14,'Settings and Scoring Rules'!$A$36:$B$38,2,FALSE),30))</f>
        <v>60</v>
      </c>
      <c r="E14" s="23">
        <f>IF(A14="","",'Intermediary Directory'!I13)</f>
        <v>46280</v>
      </c>
      <c r="F14" s="23">
        <f t="shared" si="0"/>
        <v>46340</v>
      </c>
      <c r="G14" s="18">
        <f>IF(A14="","",F14-'Settings and Scoring Rules'!$B$4)</f>
        <v>41</v>
      </c>
      <c r="H14" s="18">
        <f t="shared" si="1"/>
        <v>0</v>
      </c>
      <c r="I14" s="8" t="str">
        <f>IF(A14="","",IF(H14&gt;0,"OVERDUE "&amp;H14&amp;"d",IF(G14&lt;='Settings and Scoring Rules'!$B$7,"DUE IN "&amp;G14&amp;"d","On track")))</f>
        <v>On track</v>
      </c>
      <c r="J14" s="18">
        <f>IF(A14="","",'Intermediary Directory'!L13)</f>
        <v>1</v>
      </c>
      <c r="K14" s="8" t="str">
        <f>IF(A14="","",IF(H14&gt;0,"Call this week",IF(G14&lt;='Settings and Scoring Rules'!$B$7,"Touch by "&amp;TEXT(F14,"yyyy-mm-dd"),"Next touch "&amp;TEXT(F14,"yyyy-mm-dd"))))</f>
        <v>Next touch 2026-11-14</v>
      </c>
    </row>
    <row r="15" spans="1:11" x14ac:dyDescent="0.35">
      <c r="A15" s="8" t="str">
        <f>IF('Intermediary Directory'!A14="","",'Intermediary Directory'!A14)</f>
        <v/>
      </c>
      <c r="B15" s="8" t="str">
        <f>IF(A15="","",'Intermediary Directory'!B14)</f>
        <v/>
      </c>
      <c r="C15" s="8" t="str">
        <f>IF(A15="","",'Intermediary Directory'!G14)</f>
        <v/>
      </c>
      <c r="D15" s="18" t="str">
        <f>IF(A15="","",IFERROR(VLOOKUP(C15,'Settings and Scoring Rules'!$A$36:$B$38,2,FALSE),30))</f>
        <v/>
      </c>
      <c r="E15" s="23" t="str">
        <f>IF(A15="","",'Intermediary Directory'!I14)</f>
        <v/>
      </c>
      <c r="F15" s="23" t="str">
        <f t="shared" si="0"/>
        <v/>
      </c>
      <c r="G15" s="18" t="str">
        <f>IF(A15="","",F15-'Settings and Scoring Rules'!$B$4)</f>
        <v/>
      </c>
      <c r="H15" s="18" t="str">
        <f t="shared" si="1"/>
        <v/>
      </c>
      <c r="I15" s="8" t="str">
        <f>IF(A15="","",IF(H15&gt;0,"OVERDUE "&amp;H15&amp;"d",IF(G15&lt;='Settings and Scoring Rules'!$B$7,"DUE IN "&amp;G15&amp;"d","On track")))</f>
        <v/>
      </c>
      <c r="J15" s="18" t="str">
        <f>IF(A15="","",'Intermediary Directory'!L14)</f>
        <v/>
      </c>
      <c r="K15" s="8" t="str">
        <f>IF(A15="","",IF(H15&gt;0,"Call this week",IF(G15&lt;='Settings and Scoring Rules'!$B$7,"Touch by "&amp;TEXT(F15,"yyyy-mm-dd"),"Next touch "&amp;TEXT(F15,"yyyy-mm-dd"))))</f>
        <v/>
      </c>
    </row>
    <row r="16" spans="1:11" x14ac:dyDescent="0.35">
      <c r="A16" s="8" t="str">
        <f>IF('Intermediary Directory'!A15="","",'Intermediary Directory'!A15)</f>
        <v/>
      </c>
      <c r="B16" s="8" t="str">
        <f>IF(A16="","",'Intermediary Directory'!B15)</f>
        <v/>
      </c>
      <c r="C16" s="8" t="str">
        <f>IF(A16="","",'Intermediary Directory'!G15)</f>
        <v/>
      </c>
      <c r="D16" s="18" t="str">
        <f>IF(A16="","",IFERROR(VLOOKUP(C16,'Settings and Scoring Rules'!$A$36:$B$38,2,FALSE),30))</f>
        <v/>
      </c>
      <c r="E16" s="23" t="str">
        <f>IF(A16="","",'Intermediary Directory'!I15)</f>
        <v/>
      </c>
      <c r="F16" s="23" t="str">
        <f t="shared" si="0"/>
        <v/>
      </c>
      <c r="G16" s="18" t="str">
        <f>IF(A16="","",F16-'Settings and Scoring Rules'!$B$4)</f>
        <v/>
      </c>
      <c r="H16" s="18" t="str">
        <f t="shared" si="1"/>
        <v/>
      </c>
      <c r="I16" s="8" t="str">
        <f>IF(A16="","",IF(H16&gt;0,"OVERDUE "&amp;H16&amp;"d",IF(G16&lt;='Settings and Scoring Rules'!$B$7,"DUE IN "&amp;G16&amp;"d","On track")))</f>
        <v/>
      </c>
      <c r="J16" s="18" t="str">
        <f>IF(A16="","",'Intermediary Directory'!L15)</f>
        <v/>
      </c>
      <c r="K16" s="8" t="str">
        <f>IF(A16="","",IF(H16&gt;0,"Call this week",IF(G16&lt;='Settings and Scoring Rules'!$B$7,"Touch by "&amp;TEXT(F16,"yyyy-mm-dd"),"Next touch "&amp;TEXT(F16,"yyyy-mm-dd"))))</f>
        <v/>
      </c>
    </row>
    <row r="17" spans="1:11" x14ac:dyDescent="0.35">
      <c r="A17" s="8" t="str">
        <f>IF('Intermediary Directory'!A16="","",'Intermediary Directory'!A16)</f>
        <v/>
      </c>
      <c r="B17" s="8" t="str">
        <f>IF(A17="","",'Intermediary Directory'!B16)</f>
        <v/>
      </c>
      <c r="C17" s="8" t="str">
        <f>IF(A17="","",'Intermediary Directory'!G16)</f>
        <v/>
      </c>
      <c r="D17" s="18" t="str">
        <f>IF(A17="","",IFERROR(VLOOKUP(C17,'Settings and Scoring Rules'!$A$36:$B$38,2,FALSE),30))</f>
        <v/>
      </c>
      <c r="E17" s="23" t="str">
        <f>IF(A17="","",'Intermediary Directory'!I16)</f>
        <v/>
      </c>
      <c r="F17" s="23" t="str">
        <f t="shared" si="0"/>
        <v/>
      </c>
      <c r="G17" s="18" t="str">
        <f>IF(A17="","",F17-'Settings and Scoring Rules'!$B$4)</f>
        <v/>
      </c>
      <c r="H17" s="18" t="str">
        <f t="shared" si="1"/>
        <v/>
      </c>
      <c r="I17" s="8" t="str">
        <f>IF(A17="","",IF(H17&gt;0,"OVERDUE "&amp;H17&amp;"d",IF(G17&lt;='Settings and Scoring Rules'!$B$7,"DUE IN "&amp;G17&amp;"d","On track")))</f>
        <v/>
      </c>
      <c r="J17" s="18" t="str">
        <f>IF(A17="","",'Intermediary Directory'!L16)</f>
        <v/>
      </c>
      <c r="K17" s="8" t="str">
        <f>IF(A17="","",IF(H17&gt;0,"Call this week",IF(G17&lt;='Settings and Scoring Rules'!$B$7,"Touch by "&amp;TEXT(F17,"yyyy-mm-dd"),"Next touch "&amp;TEXT(F17,"yyyy-mm-dd"))))</f>
        <v/>
      </c>
    </row>
    <row r="18" spans="1:11" x14ac:dyDescent="0.35">
      <c r="A18" s="8" t="str">
        <f>IF('Intermediary Directory'!A17="","",'Intermediary Directory'!A17)</f>
        <v/>
      </c>
      <c r="B18" s="8" t="str">
        <f>IF(A18="","",'Intermediary Directory'!B17)</f>
        <v/>
      </c>
      <c r="C18" s="8" t="str">
        <f>IF(A18="","",'Intermediary Directory'!G17)</f>
        <v/>
      </c>
      <c r="D18" s="18" t="str">
        <f>IF(A18="","",IFERROR(VLOOKUP(C18,'Settings and Scoring Rules'!$A$36:$B$38,2,FALSE),30))</f>
        <v/>
      </c>
      <c r="E18" s="23" t="str">
        <f>IF(A18="","",'Intermediary Directory'!I17)</f>
        <v/>
      </c>
      <c r="F18" s="23" t="str">
        <f t="shared" si="0"/>
        <v/>
      </c>
      <c r="G18" s="18" t="str">
        <f>IF(A18="","",F18-'Settings and Scoring Rules'!$B$4)</f>
        <v/>
      </c>
      <c r="H18" s="18" t="str">
        <f t="shared" si="1"/>
        <v/>
      </c>
      <c r="I18" s="8" t="str">
        <f>IF(A18="","",IF(H18&gt;0,"OVERDUE "&amp;H18&amp;"d",IF(G18&lt;='Settings and Scoring Rules'!$B$7,"DUE IN "&amp;G18&amp;"d","On track")))</f>
        <v/>
      </c>
      <c r="J18" s="18" t="str">
        <f>IF(A18="","",'Intermediary Directory'!L17)</f>
        <v/>
      </c>
      <c r="K18" s="8" t="str">
        <f>IF(A18="","",IF(H18&gt;0,"Call this week",IF(G18&lt;='Settings and Scoring Rules'!$B$7,"Touch by "&amp;TEXT(F18,"yyyy-mm-dd"),"Next touch "&amp;TEXT(F18,"yyyy-mm-dd"))))</f>
        <v/>
      </c>
    </row>
    <row r="19" spans="1:11" x14ac:dyDescent="0.35">
      <c r="A19" s="8" t="str">
        <f>IF('Intermediary Directory'!A18="","",'Intermediary Directory'!A18)</f>
        <v/>
      </c>
      <c r="B19" s="8" t="str">
        <f>IF(A19="","",'Intermediary Directory'!B18)</f>
        <v/>
      </c>
      <c r="C19" s="8" t="str">
        <f>IF(A19="","",'Intermediary Directory'!G18)</f>
        <v/>
      </c>
      <c r="D19" s="18" t="str">
        <f>IF(A19="","",IFERROR(VLOOKUP(C19,'Settings and Scoring Rules'!$A$36:$B$38,2,FALSE),30))</f>
        <v/>
      </c>
      <c r="E19" s="23" t="str">
        <f>IF(A19="","",'Intermediary Directory'!I18)</f>
        <v/>
      </c>
      <c r="F19" s="23" t="str">
        <f t="shared" si="0"/>
        <v/>
      </c>
      <c r="G19" s="18" t="str">
        <f>IF(A19="","",F19-'Settings and Scoring Rules'!$B$4)</f>
        <v/>
      </c>
      <c r="H19" s="18" t="str">
        <f t="shared" si="1"/>
        <v/>
      </c>
      <c r="I19" s="8" t="str">
        <f>IF(A19="","",IF(H19&gt;0,"OVERDUE "&amp;H19&amp;"d",IF(G19&lt;='Settings and Scoring Rules'!$B$7,"DUE IN "&amp;G19&amp;"d","On track")))</f>
        <v/>
      </c>
      <c r="J19" s="18" t="str">
        <f>IF(A19="","",'Intermediary Directory'!L18)</f>
        <v/>
      </c>
      <c r="K19" s="8" t="str">
        <f>IF(A19="","",IF(H19&gt;0,"Call this week",IF(G19&lt;='Settings and Scoring Rules'!$B$7,"Touch by "&amp;TEXT(F19,"yyyy-mm-dd"),"Next touch "&amp;TEXT(F19,"yyyy-mm-dd"))))</f>
        <v/>
      </c>
    </row>
    <row r="20" spans="1:11" x14ac:dyDescent="0.35">
      <c r="A20" s="8" t="str">
        <f>IF('Intermediary Directory'!A19="","",'Intermediary Directory'!A19)</f>
        <v/>
      </c>
      <c r="B20" s="8" t="str">
        <f>IF(A20="","",'Intermediary Directory'!B19)</f>
        <v/>
      </c>
      <c r="C20" s="8" t="str">
        <f>IF(A20="","",'Intermediary Directory'!G19)</f>
        <v/>
      </c>
      <c r="D20" s="18" t="str">
        <f>IF(A20="","",IFERROR(VLOOKUP(C20,'Settings and Scoring Rules'!$A$36:$B$38,2,FALSE),30))</f>
        <v/>
      </c>
      <c r="E20" s="23" t="str">
        <f>IF(A20="","",'Intermediary Directory'!I19)</f>
        <v/>
      </c>
      <c r="F20" s="23" t="str">
        <f t="shared" si="0"/>
        <v/>
      </c>
      <c r="G20" s="18" t="str">
        <f>IF(A20="","",F20-'Settings and Scoring Rules'!$B$4)</f>
        <v/>
      </c>
      <c r="H20" s="18" t="str">
        <f t="shared" si="1"/>
        <v/>
      </c>
      <c r="I20" s="8" t="str">
        <f>IF(A20="","",IF(H20&gt;0,"OVERDUE "&amp;H20&amp;"d",IF(G20&lt;='Settings and Scoring Rules'!$B$7,"DUE IN "&amp;G20&amp;"d","On track")))</f>
        <v/>
      </c>
      <c r="J20" s="18" t="str">
        <f>IF(A20="","",'Intermediary Directory'!L19)</f>
        <v/>
      </c>
      <c r="K20" s="8" t="str">
        <f>IF(A20="","",IF(H20&gt;0,"Call this week",IF(G20&lt;='Settings and Scoring Rules'!$B$7,"Touch by "&amp;TEXT(F20,"yyyy-mm-dd"),"Next touch "&amp;TEXT(F20,"yyyy-mm-dd"))))</f>
        <v/>
      </c>
    </row>
    <row r="21" spans="1:11" x14ac:dyDescent="0.35">
      <c r="A21" s="8" t="str">
        <f>IF('Intermediary Directory'!A20="","",'Intermediary Directory'!A20)</f>
        <v/>
      </c>
      <c r="B21" s="8" t="str">
        <f>IF(A21="","",'Intermediary Directory'!B20)</f>
        <v/>
      </c>
      <c r="C21" s="8" t="str">
        <f>IF(A21="","",'Intermediary Directory'!G20)</f>
        <v/>
      </c>
      <c r="D21" s="18" t="str">
        <f>IF(A21="","",IFERROR(VLOOKUP(C21,'Settings and Scoring Rules'!$A$36:$B$38,2,FALSE),30))</f>
        <v/>
      </c>
      <c r="E21" s="23" t="str">
        <f>IF(A21="","",'Intermediary Directory'!I20)</f>
        <v/>
      </c>
      <c r="F21" s="23" t="str">
        <f t="shared" si="0"/>
        <v/>
      </c>
      <c r="G21" s="18" t="str">
        <f>IF(A21="","",F21-'Settings and Scoring Rules'!$B$4)</f>
        <v/>
      </c>
      <c r="H21" s="18" t="str">
        <f t="shared" si="1"/>
        <v/>
      </c>
      <c r="I21" s="8" t="str">
        <f>IF(A21="","",IF(H21&gt;0,"OVERDUE "&amp;H21&amp;"d",IF(G21&lt;='Settings and Scoring Rules'!$B$7,"DUE IN "&amp;G21&amp;"d","On track")))</f>
        <v/>
      </c>
      <c r="J21" s="18" t="str">
        <f>IF(A21="","",'Intermediary Directory'!L20)</f>
        <v/>
      </c>
      <c r="K21" s="8" t="str">
        <f>IF(A21="","",IF(H21&gt;0,"Call this week",IF(G21&lt;='Settings and Scoring Rules'!$B$7,"Touch by "&amp;TEXT(F21,"yyyy-mm-dd"),"Next touch "&amp;TEXT(F21,"yyyy-mm-dd"))))</f>
        <v/>
      </c>
    </row>
    <row r="22" spans="1:11" x14ac:dyDescent="0.35">
      <c r="A22" s="8" t="str">
        <f>IF('Intermediary Directory'!A21="","",'Intermediary Directory'!A21)</f>
        <v/>
      </c>
      <c r="B22" s="8" t="str">
        <f>IF(A22="","",'Intermediary Directory'!B21)</f>
        <v/>
      </c>
      <c r="C22" s="8" t="str">
        <f>IF(A22="","",'Intermediary Directory'!G21)</f>
        <v/>
      </c>
      <c r="D22" s="18" t="str">
        <f>IF(A22="","",IFERROR(VLOOKUP(C22,'Settings and Scoring Rules'!$A$36:$B$38,2,FALSE),30))</f>
        <v/>
      </c>
      <c r="E22" s="23" t="str">
        <f>IF(A22="","",'Intermediary Directory'!I21)</f>
        <v/>
      </c>
      <c r="F22" s="23" t="str">
        <f t="shared" si="0"/>
        <v/>
      </c>
      <c r="G22" s="18" t="str">
        <f>IF(A22="","",F22-'Settings and Scoring Rules'!$B$4)</f>
        <v/>
      </c>
      <c r="H22" s="18" t="str">
        <f t="shared" si="1"/>
        <v/>
      </c>
      <c r="I22" s="8" t="str">
        <f>IF(A22="","",IF(H22&gt;0,"OVERDUE "&amp;H22&amp;"d",IF(G22&lt;='Settings and Scoring Rules'!$B$7,"DUE IN "&amp;G22&amp;"d","On track")))</f>
        <v/>
      </c>
      <c r="J22" s="18" t="str">
        <f>IF(A22="","",'Intermediary Directory'!L21)</f>
        <v/>
      </c>
      <c r="K22" s="8" t="str">
        <f>IF(A22="","",IF(H22&gt;0,"Call this week",IF(G22&lt;='Settings and Scoring Rules'!$B$7,"Touch by "&amp;TEXT(F22,"yyyy-mm-dd"),"Next touch "&amp;TEXT(F22,"yyyy-mm-dd"))))</f>
        <v/>
      </c>
    </row>
    <row r="23" spans="1:11" x14ac:dyDescent="0.35">
      <c r="A23" s="8" t="str">
        <f>IF('Intermediary Directory'!A22="","",'Intermediary Directory'!A22)</f>
        <v/>
      </c>
      <c r="B23" s="8" t="str">
        <f>IF(A23="","",'Intermediary Directory'!B22)</f>
        <v/>
      </c>
      <c r="C23" s="8" t="str">
        <f>IF(A23="","",'Intermediary Directory'!G22)</f>
        <v/>
      </c>
      <c r="D23" s="18" t="str">
        <f>IF(A23="","",IFERROR(VLOOKUP(C23,'Settings and Scoring Rules'!$A$36:$B$38,2,FALSE),30))</f>
        <v/>
      </c>
      <c r="E23" s="23" t="str">
        <f>IF(A23="","",'Intermediary Directory'!I22)</f>
        <v/>
      </c>
      <c r="F23" s="23" t="str">
        <f t="shared" si="0"/>
        <v/>
      </c>
      <c r="G23" s="18" t="str">
        <f>IF(A23="","",F23-'Settings and Scoring Rules'!$B$4)</f>
        <v/>
      </c>
      <c r="H23" s="18" t="str">
        <f t="shared" si="1"/>
        <v/>
      </c>
      <c r="I23" s="8" t="str">
        <f>IF(A23="","",IF(H23&gt;0,"OVERDUE "&amp;H23&amp;"d",IF(G23&lt;='Settings and Scoring Rules'!$B$7,"DUE IN "&amp;G23&amp;"d","On track")))</f>
        <v/>
      </c>
      <c r="J23" s="18" t="str">
        <f>IF(A23="","",'Intermediary Directory'!L22)</f>
        <v/>
      </c>
      <c r="K23" s="8" t="str">
        <f>IF(A23="","",IF(H23&gt;0,"Call this week",IF(G23&lt;='Settings and Scoring Rules'!$B$7,"Touch by "&amp;TEXT(F23,"yyyy-mm-dd"),"Next touch "&amp;TEXT(F23,"yyyy-mm-dd"))))</f>
        <v/>
      </c>
    </row>
    <row r="24" spans="1:11" x14ac:dyDescent="0.35">
      <c r="A24" s="8" t="str">
        <f>IF('Intermediary Directory'!A23="","",'Intermediary Directory'!A23)</f>
        <v/>
      </c>
      <c r="B24" s="8" t="str">
        <f>IF(A24="","",'Intermediary Directory'!B23)</f>
        <v/>
      </c>
      <c r="C24" s="8" t="str">
        <f>IF(A24="","",'Intermediary Directory'!G23)</f>
        <v/>
      </c>
      <c r="D24" s="18" t="str">
        <f>IF(A24="","",IFERROR(VLOOKUP(C24,'Settings and Scoring Rules'!$A$36:$B$38,2,FALSE),30))</f>
        <v/>
      </c>
      <c r="E24" s="23" t="str">
        <f>IF(A24="","",'Intermediary Directory'!I23)</f>
        <v/>
      </c>
      <c r="F24" s="23" t="str">
        <f t="shared" si="0"/>
        <v/>
      </c>
      <c r="G24" s="18" t="str">
        <f>IF(A24="","",F24-'Settings and Scoring Rules'!$B$4)</f>
        <v/>
      </c>
      <c r="H24" s="18" t="str">
        <f t="shared" si="1"/>
        <v/>
      </c>
      <c r="I24" s="8" t="str">
        <f>IF(A24="","",IF(H24&gt;0,"OVERDUE "&amp;H24&amp;"d",IF(G24&lt;='Settings and Scoring Rules'!$B$7,"DUE IN "&amp;G24&amp;"d","On track")))</f>
        <v/>
      </c>
      <c r="J24" s="18" t="str">
        <f>IF(A24="","",'Intermediary Directory'!L23)</f>
        <v/>
      </c>
      <c r="K24" s="8" t="str">
        <f>IF(A24="","",IF(H24&gt;0,"Call this week",IF(G24&lt;='Settings and Scoring Rules'!$B$7,"Touch by "&amp;TEXT(F24,"yyyy-mm-dd"),"Next touch "&amp;TEXT(F24,"yyyy-mm-dd"))))</f>
        <v/>
      </c>
    </row>
    <row r="25" spans="1:11" x14ac:dyDescent="0.35">
      <c r="A25" s="8" t="str">
        <f>IF('Intermediary Directory'!A24="","",'Intermediary Directory'!A24)</f>
        <v/>
      </c>
      <c r="B25" s="8" t="str">
        <f>IF(A25="","",'Intermediary Directory'!B24)</f>
        <v/>
      </c>
      <c r="C25" s="8" t="str">
        <f>IF(A25="","",'Intermediary Directory'!G24)</f>
        <v/>
      </c>
      <c r="D25" s="18" t="str">
        <f>IF(A25="","",IFERROR(VLOOKUP(C25,'Settings and Scoring Rules'!$A$36:$B$38,2,FALSE),30))</f>
        <v/>
      </c>
      <c r="E25" s="23" t="str">
        <f>IF(A25="","",'Intermediary Directory'!I24)</f>
        <v/>
      </c>
      <c r="F25" s="23" t="str">
        <f t="shared" si="0"/>
        <v/>
      </c>
      <c r="G25" s="18" t="str">
        <f>IF(A25="","",F25-'Settings and Scoring Rules'!$B$4)</f>
        <v/>
      </c>
      <c r="H25" s="18" t="str">
        <f t="shared" si="1"/>
        <v/>
      </c>
      <c r="I25" s="8" t="str">
        <f>IF(A25="","",IF(H25&gt;0,"OVERDUE "&amp;H25&amp;"d",IF(G25&lt;='Settings and Scoring Rules'!$B$7,"DUE IN "&amp;G25&amp;"d","On track")))</f>
        <v/>
      </c>
      <c r="J25" s="18" t="str">
        <f>IF(A25="","",'Intermediary Directory'!L24)</f>
        <v/>
      </c>
      <c r="K25" s="8" t="str">
        <f>IF(A25="","",IF(H25&gt;0,"Call this week",IF(G25&lt;='Settings and Scoring Rules'!$B$7,"Touch by "&amp;TEXT(F25,"yyyy-mm-dd"),"Next touch "&amp;TEXT(F25,"yyyy-mm-dd"))))</f>
        <v/>
      </c>
    </row>
    <row r="26" spans="1:11" x14ac:dyDescent="0.35">
      <c r="A26" s="8" t="str">
        <f>IF('Intermediary Directory'!A25="","",'Intermediary Directory'!A25)</f>
        <v/>
      </c>
      <c r="B26" s="8" t="str">
        <f>IF(A26="","",'Intermediary Directory'!B25)</f>
        <v/>
      </c>
      <c r="C26" s="8" t="str">
        <f>IF(A26="","",'Intermediary Directory'!G25)</f>
        <v/>
      </c>
      <c r="D26" s="18" t="str">
        <f>IF(A26="","",IFERROR(VLOOKUP(C26,'Settings and Scoring Rules'!$A$36:$B$38,2,FALSE),30))</f>
        <v/>
      </c>
      <c r="E26" s="23" t="str">
        <f>IF(A26="","",'Intermediary Directory'!I25)</f>
        <v/>
      </c>
      <c r="F26" s="23" t="str">
        <f t="shared" si="0"/>
        <v/>
      </c>
      <c r="G26" s="18" t="str">
        <f>IF(A26="","",F26-'Settings and Scoring Rules'!$B$4)</f>
        <v/>
      </c>
      <c r="H26" s="18" t="str">
        <f t="shared" si="1"/>
        <v/>
      </c>
      <c r="I26" s="8" t="str">
        <f>IF(A26="","",IF(H26&gt;0,"OVERDUE "&amp;H26&amp;"d",IF(G26&lt;='Settings and Scoring Rules'!$B$7,"DUE IN "&amp;G26&amp;"d","On track")))</f>
        <v/>
      </c>
      <c r="J26" s="18" t="str">
        <f>IF(A26="","",'Intermediary Directory'!L25)</f>
        <v/>
      </c>
      <c r="K26" s="8" t="str">
        <f>IF(A26="","",IF(H26&gt;0,"Call this week",IF(G26&lt;='Settings and Scoring Rules'!$B$7,"Touch by "&amp;TEXT(F26,"yyyy-mm-dd"),"Next touch "&amp;TEXT(F26,"yyyy-mm-dd"))))</f>
        <v/>
      </c>
    </row>
    <row r="27" spans="1:11" x14ac:dyDescent="0.35">
      <c r="A27" s="8" t="str">
        <f>IF('Intermediary Directory'!A26="","",'Intermediary Directory'!A26)</f>
        <v/>
      </c>
      <c r="B27" s="8" t="str">
        <f>IF(A27="","",'Intermediary Directory'!B26)</f>
        <v/>
      </c>
      <c r="C27" s="8" t="str">
        <f>IF(A27="","",'Intermediary Directory'!G26)</f>
        <v/>
      </c>
      <c r="D27" s="18" t="str">
        <f>IF(A27="","",IFERROR(VLOOKUP(C27,'Settings and Scoring Rules'!$A$36:$B$38,2,FALSE),30))</f>
        <v/>
      </c>
      <c r="E27" s="23" t="str">
        <f>IF(A27="","",'Intermediary Directory'!I26)</f>
        <v/>
      </c>
      <c r="F27" s="23" t="str">
        <f t="shared" si="0"/>
        <v/>
      </c>
      <c r="G27" s="18" t="str">
        <f>IF(A27="","",F27-'Settings and Scoring Rules'!$B$4)</f>
        <v/>
      </c>
      <c r="H27" s="18" t="str">
        <f t="shared" si="1"/>
        <v/>
      </c>
      <c r="I27" s="8" t="str">
        <f>IF(A27="","",IF(H27&gt;0,"OVERDUE "&amp;H27&amp;"d",IF(G27&lt;='Settings and Scoring Rules'!$B$7,"DUE IN "&amp;G27&amp;"d","On track")))</f>
        <v/>
      </c>
      <c r="J27" s="18" t="str">
        <f>IF(A27="","",'Intermediary Directory'!L26)</f>
        <v/>
      </c>
      <c r="K27" s="8" t="str">
        <f>IF(A27="","",IF(H27&gt;0,"Call this week",IF(G27&lt;='Settings and Scoring Rules'!$B$7,"Touch by "&amp;TEXT(F27,"yyyy-mm-dd"),"Next touch "&amp;TEXT(F27,"yyyy-mm-dd"))))</f>
        <v/>
      </c>
    </row>
    <row r="28" spans="1:11" x14ac:dyDescent="0.35">
      <c r="A28" s="8" t="str">
        <f>IF('Intermediary Directory'!A27="","",'Intermediary Directory'!A27)</f>
        <v/>
      </c>
      <c r="B28" s="8" t="str">
        <f>IF(A28="","",'Intermediary Directory'!B27)</f>
        <v/>
      </c>
      <c r="C28" s="8" t="str">
        <f>IF(A28="","",'Intermediary Directory'!G27)</f>
        <v/>
      </c>
      <c r="D28" s="18" t="str">
        <f>IF(A28="","",IFERROR(VLOOKUP(C28,'Settings and Scoring Rules'!$A$36:$B$38,2,FALSE),30))</f>
        <v/>
      </c>
      <c r="E28" s="23" t="str">
        <f>IF(A28="","",'Intermediary Directory'!I27)</f>
        <v/>
      </c>
      <c r="F28" s="23" t="str">
        <f t="shared" si="0"/>
        <v/>
      </c>
      <c r="G28" s="18" t="str">
        <f>IF(A28="","",F28-'Settings and Scoring Rules'!$B$4)</f>
        <v/>
      </c>
      <c r="H28" s="18" t="str">
        <f t="shared" si="1"/>
        <v/>
      </c>
      <c r="I28" s="8" t="str">
        <f>IF(A28="","",IF(H28&gt;0,"OVERDUE "&amp;H28&amp;"d",IF(G28&lt;='Settings and Scoring Rules'!$B$7,"DUE IN "&amp;G28&amp;"d","On track")))</f>
        <v/>
      </c>
      <c r="J28" s="18" t="str">
        <f>IF(A28="","",'Intermediary Directory'!L27)</f>
        <v/>
      </c>
      <c r="K28" s="8" t="str">
        <f>IF(A28="","",IF(H28&gt;0,"Call this week",IF(G28&lt;='Settings and Scoring Rules'!$B$7,"Touch by "&amp;TEXT(F28,"yyyy-mm-dd"),"Next touch "&amp;TEXT(F28,"yyyy-mm-dd"))))</f>
        <v/>
      </c>
    </row>
    <row r="29" spans="1:11" x14ac:dyDescent="0.35">
      <c r="A29" s="8" t="str">
        <f>IF('Intermediary Directory'!A28="","",'Intermediary Directory'!A28)</f>
        <v/>
      </c>
      <c r="B29" s="8" t="str">
        <f>IF(A29="","",'Intermediary Directory'!B28)</f>
        <v/>
      </c>
      <c r="C29" s="8" t="str">
        <f>IF(A29="","",'Intermediary Directory'!G28)</f>
        <v/>
      </c>
      <c r="D29" s="18" t="str">
        <f>IF(A29="","",IFERROR(VLOOKUP(C29,'Settings and Scoring Rules'!$A$36:$B$38,2,FALSE),30))</f>
        <v/>
      </c>
      <c r="E29" s="23" t="str">
        <f>IF(A29="","",'Intermediary Directory'!I28)</f>
        <v/>
      </c>
      <c r="F29" s="23" t="str">
        <f t="shared" si="0"/>
        <v/>
      </c>
      <c r="G29" s="18" t="str">
        <f>IF(A29="","",F29-'Settings and Scoring Rules'!$B$4)</f>
        <v/>
      </c>
      <c r="H29" s="18" t="str">
        <f t="shared" si="1"/>
        <v/>
      </c>
      <c r="I29" s="8" t="str">
        <f>IF(A29="","",IF(H29&gt;0,"OVERDUE "&amp;H29&amp;"d",IF(G29&lt;='Settings and Scoring Rules'!$B$7,"DUE IN "&amp;G29&amp;"d","On track")))</f>
        <v/>
      </c>
      <c r="J29" s="18" t="str">
        <f>IF(A29="","",'Intermediary Directory'!L28)</f>
        <v/>
      </c>
      <c r="K29" s="8" t="str">
        <f>IF(A29="","",IF(H29&gt;0,"Call this week",IF(G29&lt;='Settings and Scoring Rules'!$B$7,"Touch by "&amp;TEXT(F29,"yyyy-mm-dd"),"Next touch "&amp;TEXT(F29,"yyyy-mm-dd"))))</f>
        <v/>
      </c>
    </row>
    <row r="31" spans="1:11" ht="15.5" x14ac:dyDescent="0.35">
      <c r="A31" s="4" t="s">
        <v>260</v>
      </c>
    </row>
    <row r="32" spans="1:11" ht="29" x14ac:dyDescent="0.35">
      <c r="A32" s="5" t="s">
        <v>197</v>
      </c>
      <c r="B32" s="5" t="s">
        <v>126</v>
      </c>
      <c r="C32" s="5" t="s">
        <v>261</v>
      </c>
      <c r="D32" s="5" t="s">
        <v>92</v>
      </c>
      <c r="E32" s="5" t="s">
        <v>204</v>
      </c>
      <c r="F32" s="5" t="s">
        <v>205</v>
      </c>
      <c r="G32" s="5" t="s">
        <v>212</v>
      </c>
      <c r="H32" s="5" t="s">
        <v>213</v>
      </c>
    </row>
    <row r="33" spans="1:8" ht="29" x14ac:dyDescent="0.35">
      <c r="A33" s="8" t="str">
        <f>IF('Deal Pipeline Log'!A4="","",'Deal Pipeline Log'!A4)</f>
        <v>D01</v>
      </c>
      <c r="B33" s="8" t="str">
        <f>IF(A33="","",'Deal Pipeline Log'!B4)</f>
        <v>Project Atlas</v>
      </c>
      <c r="C33" s="8" t="str">
        <f>IF(A33="","",'Deal Pipeline Log'!E4)</f>
        <v>Banker A</v>
      </c>
      <c r="D33" s="8" t="str">
        <f>IF(A33="","",'Deal Pipeline Log'!G4)</f>
        <v>Management Meeting</v>
      </c>
      <c r="E33" s="8" t="str">
        <f>IF(A33="","",'Deal Pipeline Log'!K4)</f>
        <v>Send diligence request list</v>
      </c>
      <c r="F33" s="23">
        <f>IF(A33="","",IF('Deal Pipeline Log'!L4="","",'Deal Pipeline Log'!L4))</f>
        <v>46303</v>
      </c>
      <c r="G33" s="18">
        <f>IF(A33="","",'Deal Pipeline Log'!V4)</f>
        <v>0</v>
      </c>
      <c r="H33" s="8" t="str">
        <f>IF(A33="","",'Deal Pipeline Log'!W4)</f>
        <v>DUE IN 4d</v>
      </c>
    </row>
    <row r="34" spans="1:8" x14ac:dyDescent="0.35">
      <c r="A34" s="8" t="str">
        <f>IF('Deal Pipeline Log'!A5="","",'Deal Pipeline Log'!A5)</f>
        <v>D02</v>
      </c>
      <c r="B34" s="8" t="str">
        <f>IF(A34="","",'Deal Pipeline Log'!B5)</f>
        <v>Project Birch</v>
      </c>
      <c r="C34" s="8" t="str">
        <f>IF(A34="","",'Deal Pipeline Log'!E5)</f>
        <v>Banker B</v>
      </c>
      <c r="D34" s="8" t="str">
        <f>IF(A34="","",'Deal Pipeline Log'!G5)</f>
        <v>IOI Submitted</v>
      </c>
      <c r="E34" s="8" t="str">
        <f>IF(A34="","",'Deal Pipeline Log'!K5)</f>
        <v>Follow up on IOI feedback</v>
      </c>
      <c r="F34" s="23">
        <f>IF(A34="","",IF('Deal Pipeline Log'!L5="","",'Deal Pipeline Log'!L5))</f>
        <v>46294</v>
      </c>
      <c r="G34" s="18">
        <f>IF(A34="","",'Deal Pipeline Log'!V5)</f>
        <v>5</v>
      </c>
      <c r="H34" s="8" t="str">
        <f>IF(A34="","",'Deal Pipeline Log'!W5)</f>
        <v>OVERDUE 5d</v>
      </c>
    </row>
    <row r="35" spans="1:8" x14ac:dyDescent="0.35">
      <c r="A35" s="8" t="str">
        <f>IF('Deal Pipeline Log'!A6="","",'Deal Pipeline Log'!A6)</f>
        <v>D03</v>
      </c>
      <c r="B35" s="8" t="str">
        <f>IF(A35="","",'Deal Pipeline Log'!B6)</f>
        <v>Project Cedar</v>
      </c>
      <c r="C35" s="8" t="str">
        <f>IF(A35="","",'Deal Pipeline Log'!E6)</f>
        <v>Broker C</v>
      </c>
      <c r="D35" s="8" t="str">
        <f>IF(A35="","",'Deal Pipeline Log'!G6)</f>
        <v>CIM Review</v>
      </c>
      <c r="E35" s="8" t="str">
        <f>IF(A35="","",'Deal Pipeline Log'!K6)</f>
        <v>Call owner re: Q3 financials</v>
      </c>
      <c r="F35" s="23">
        <f>IF(A35="","",IF('Deal Pipeline Log'!L6="","",'Deal Pipeline Log'!L6))</f>
        <v>46291</v>
      </c>
      <c r="G35" s="18">
        <f>IF(A35="","",'Deal Pipeline Log'!V6)</f>
        <v>8</v>
      </c>
      <c r="H35" s="8" t="str">
        <f>IF(A35="","",'Deal Pipeline Log'!W6)</f>
        <v>OVERDUE 8d</v>
      </c>
    </row>
    <row r="36" spans="1:8" x14ac:dyDescent="0.35">
      <c r="A36" s="8" t="str">
        <f>IF('Deal Pipeline Log'!A7="","",'Deal Pipeline Log'!A7)</f>
        <v>D04</v>
      </c>
      <c r="B36" s="8" t="str">
        <f>IF(A36="","",'Deal Pipeline Log'!B7)</f>
        <v>Project Delta</v>
      </c>
      <c r="C36" s="8" t="str">
        <f>IF(A36="","",'Deal Pipeline Log'!E7)</f>
        <v>Broker D</v>
      </c>
      <c r="D36" s="8" t="str">
        <f>IF(A36="","",'Deal Pipeline Log'!G7)</f>
        <v>NDA / Teaser</v>
      </c>
      <c r="E36" s="8" t="str">
        <f>IF(A36="","",'Deal Pipeline Log'!K7)</f>
        <v>Sign NDA and request CIM</v>
      </c>
      <c r="F36" s="23">
        <f>IF(A36="","",IF('Deal Pipeline Log'!L7="","",'Deal Pipeline Log'!L7))</f>
        <v>46298</v>
      </c>
      <c r="G36" s="18">
        <f>IF(A36="","",'Deal Pipeline Log'!V7)</f>
        <v>1</v>
      </c>
      <c r="H36" s="8" t="str">
        <f>IF(A36="","",'Deal Pipeline Log'!W7)</f>
        <v>OVERDUE 1d</v>
      </c>
    </row>
    <row r="37" spans="1:8" x14ac:dyDescent="0.35">
      <c r="A37" s="8" t="str">
        <f>IF('Deal Pipeline Log'!A8="","",'Deal Pipeline Log'!A8)</f>
        <v>D05</v>
      </c>
      <c r="B37" s="8" t="str">
        <f>IF(A37="","",'Deal Pipeline Log'!B8)</f>
        <v>Project Ember</v>
      </c>
      <c r="C37" s="8" t="str">
        <f>IF(A37="","",'Deal Pipeline Log'!E8)</f>
        <v>Advisor E</v>
      </c>
      <c r="D37" s="8" t="str">
        <f>IF(A37="","",'Deal Pipeline Log'!G8)</f>
        <v>CIM Review</v>
      </c>
      <c r="E37" s="8" t="str">
        <f>IF(A37="","",'Deal Pipeline Log'!K8)</f>
        <v>Decide IOI go / no-go</v>
      </c>
      <c r="F37" s="23">
        <f>IF(A37="","",IF('Deal Pipeline Log'!L8="","",'Deal Pipeline Log'!L8))</f>
        <v>46305</v>
      </c>
      <c r="G37" s="18">
        <f>IF(A37="","",'Deal Pipeline Log'!V8)</f>
        <v>0</v>
      </c>
      <c r="H37" s="8" t="str">
        <f>IF(A37="","",'Deal Pipeline Log'!W8)</f>
        <v>DUE IN 6d</v>
      </c>
    </row>
    <row r="38" spans="1:8" x14ac:dyDescent="0.35">
      <c r="A38" s="8" t="str">
        <f>IF('Deal Pipeline Log'!A9="","",'Deal Pipeline Log'!A9)</f>
        <v>D06</v>
      </c>
      <c r="B38" s="8" t="str">
        <f>IF(A38="","",'Deal Pipeline Log'!B9)</f>
        <v>Project Falcon</v>
      </c>
      <c r="C38" s="8" t="str">
        <f>IF(A38="","",'Deal Pipeline Log'!E9)</f>
        <v>Operator H</v>
      </c>
      <c r="D38" s="8" t="str">
        <f>IF(A38="","",'Deal Pipeline Log'!G9)</f>
        <v>LOI Submitted</v>
      </c>
      <c r="E38" s="8" t="str">
        <f>IF(A38="","",'Deal Pipeline Log'!K9)</f>
        <v>Negotiate LOI exclusivity terms</v>
      </c>
      <c r="F38" s="23">
        <f>IF(A38="","",IF('Deal Pipeline Log'!L9="","",'Deal Pipeline Log'!L9))</f>
        <v>46301</v>
      </c>
      <c r="G38" s="18">
        <f>IF(A38="","",'Deal Pipeline Log'!V9)</f>
        <v>0</v>
      </c>
      <c r="H38" s="8" t="str">
        <f>IF(A38="","",'Deal Pipeline Log'!W9)</f>
        <v>DUE IN 2d</v>
      </c>
    </row>
    <row r="39" spans="1:8" x14ac:dyDescent="0.35">
      <c r="A39" s="8" t="str">
        <f>IF('Deal Pipeline Log'!A10="","",'Deal Pipeline Log'!A10)</f>
        <v>D07</v>
      </c>
      <c r="B39" s="8" t="str">
        <f>IF(A39="","",'Deal Pipeline Log'!B10)</f>
        <v>Project Granite</v>
      </c>
      <c r="C39" s="8" t="str">
        <f>IF(A39="","",'Deal Pipeline Log'!E10)</f>
        <v>CPA F</v>
      </c>
      <c r="D39" s="8" t="str">
        <f>IF(A39="","",'Deal Pipeline Log'!G10)</f>
        <v>Sourced</v>
      </c>
      <c r="E39" s="8" t="str">
        <f>IF(A39="","",'Deal Pipeline Log'!K10)</f>
        <v>Schedule intro call with owner</v>
      </c>
      <c r="F39" s="23">
        <f>IF(A39="","",IF('Deal Pipeline Log'!L10="","",'Deal Pipeline Log'!L10))</f>
        <v>46280</v>
      </c>
      <c r="G39" s="18">
        <f>IF(A39="","",'Deal Pipeline Log'!V10)</f>
        <v>19</v>
      </c>
      <c r="H39" s="8" t="str">
        <f>IF(A39="","",'Deal Pipeline Log'!W10)</f>
        <v>OVERDUE 19d</v>
      </c>
    </row>
    <row r="40" spans="1:8" x14ac:dyDescent="0.35">
      <c r="A40" s="8" t="str">
        <f>IF('Deal Pipeline Log'!A11="","",'Deal Pipeline Log'!A11)</f>
        <v>D08</v>
      </c>
      <c r="B40" s="8" t="str">
        <f>IF(A40="","",'Deal Pipeline Log'!B11)</f>
        <v>Project Harbor</v>
      </c>
      <c r="C40" s="8" t="str">
        <f>IF(A40="","",'Deal Pipeline Log'!E11)</f>
        <v>Banker I</v>
      </c>
      <c r="D40" s="8" t="str">
        <f>IF(A40="","",'Deal Pipeline Log'!G11)</f>
        <v>Passed</v>
      </c>
      <c r="E40" s="8" t="str">
        <f>IF(A40="","",'Deal Pipeline Log'!K11)</f>
        <v>Passed - valuation gap</v>
      </c>
      <c r="F40" s="23" t="str">
        <f>IF(A40="","",IF('Deal Pipeline Log'!L11="","",'Deal Pipeline Log'!L11))</f>
        <v/>
      </c>
      <c r="G40" s="18" t="str">
        <f>IF(A40="","",'Deal Pipeline Log'!V11)</f>
        <v/>
      </c>
      <c r="H40" s="8" t="str">
        <f>IF(A40="","",'Deal Pipeline Log'!W11)</f>
        <v>Inactive - Passed</v>
      </c>
    </row>
    <row r="41" spans="1:8" x14ac:dyDescent="0.35">
      <c r="A41" s="8" t="str">
        <f>IF('Deal Pipeline Log'!A12="","",'Deal Pipeline Log'!A12)</f>
        <v>D09</v>
      </c>
      <c r="B41" s="8" t="str">
        <f>IF(A41="","",'Deal Pipeline Log'!B12)</f>
        <v>Project Iris</v>
      </c>
      <c r="C41" s="8" t="str">
        <f>IF(A41="","",'Deal Pipeline Log'!E12)</f>
        <v>Founder J</v>
      </c>
      <c r="D41" s="8" t="str">
        <f>IF(A41="","",'Deal Pipeline Log'!G12)</f>
        <v>Sourced</v>
      </c>
      <c r="E41" s="8" t="str">
        <f>IF(A41="","",'Deal Pipeline Log'!K12)</f>
        <v>Request financial summary</v>
      </c>
      <c r="F41" s="23">
        <f>IF(A41="","",IF('Deal Pipeline Log'!L12="","",'Deal Pipeline Log'!L12))</f>
        <v>46307</v>
      </c>
      <c r="G41" s="18">
        <f>IF(A41="","",'Deal Pipeline Log'!V12)</f>
        <v>0</v>
      </c>
      <c r="H41" s="8" t="str">
        <f>IF(A41="","",'Deal Pipeline Log'!W12)</f>
        <v>On track</v>
      </c>
    </row>
    <row r="42" spans="1:8" ht="29" x14ac:dyDescent="0.35">
      <c r="A42" s="8" t="str">
        <f>IF('Deal Pipeline Log'!A13="","",'Deal Pipeline Log'!A13)</f>
        <v>D10</v>
      </c>
      <c r="B42" s="8" t="str">
        <f>IF(A42="","",'Deal Pipeline Log'!B13)</f>
        <v>Project Juniper</v>
      </c>
      <c r="C42" s="8" t="str">
        <f>IF(A42="","",'Deal Pipeline Log'!E13)</f>
        <v>Attorney G</v>
      </c>
      <c r="D42" s="8" t="str">
        <f>IF(A42="","",'Deal Pipeline Log'!G13)</f>
        <v>IOI Submitted</v>
      </c>
      <c r="E42" s="8" t="str">
        <f>IF(A42="","",'Deal Pipeline Log'!K13)</f>
        <v>Prepare management meeting questions</v>
      </c>
      <c r="F42" s="23">
        <f>IF(A42="","",IF('Deal Pipeline Log'!L13="","",'Deal Pipeline Log'!L13))</f>
        <v>46304</v>
      </c>
      <c r="G42" s="18">
        <f>IF(A42="","",'Deal Pipeline Log'!V13)</f>
        <v>0</v>
      </c>
      <c r="H42" s="8" t="str">
        <f>IF(A42="","",'Deal Pipeline Log'!W13)</f>
        <v>DUE IN 5d</v>
      </c>
    </row>
    <row r="43" spans="1:8" x14ac:dyDescent="0.35">
      <c r="A43" s="8" t="str">
        <f>IF('Deal Pipeline Log'!A14="","",'Deal Pipeline Log'!A14)</f>
        <v>D11</v>
      </c>
      <c r="B43" s="8" t="str">
        <f>IF(A43="","",'Deal Pipeline Log'!B14)</f>
        <v>Project Kestrel</v>
      </c>
      <c r="C43" s="8" t="str">
        <f>IF(A43="","",'Deal Pipeline Log'!E14)</f>
        <v>Broker D</v>
      </c>
      <c r="D43" s="8" t="str">
        <f>IF(A43="","",'Deal Pipeline Log'!G14)</f>
        <v>Lost</v>
      </c>
      <c r="E43" s="8" t="str">
        <f>IF(A43="","",'Deal Pipeline Log'!K14)</f>
        <v>Lost - outbid</v>
      </c>
      <c r="F43" s="23" t="str">
        <f>IF(A43="","",IF('Deal Pipeline Log'!L14="","",'Deal Pipeline Log'!L14))</f>
        <v/>
      </c>
      <c r="G43" s="18" t="str">
        <f>IF(A43="","",'Deal Pipeline Log'!V14)</f>
        <v/>
      </c>
      <c r="H43" s="8" t="str">
        <f>IF(A43="","",'Deal Pipeline Log'!W14)</f>
        <v>Inactive - Lost</v>
      </c>
    </row>
    <row r="44" spans="1:8" x14ac:dyDescent="0.35">
      <c r="A44" s="8" t="str">
        <f>IF('Deal Pipeline Log'!A15="","",'Deal Pipeline Log'!A15)</f>
        <v>D12</v>
      </c>
      <c r="B44" s="8" t="str">
        <f>IF(A44="","",'Deal Pipeline Log'!B15)</f>
        <v>Project Larch</v>
      </c>
      <c r="C44" s="8" t="str">
        <f>IF(A44="","",'Deal Pipeline Log'!E15)</f>
        <v>Broker C</v>
      </c>
      <c r="D44" s="8" t="str">
        <f>IF(A44="","",'Deal Pipeline Log'!G15)</f>
        <v>NDA / Teaser</v>
      </c>
      <c r="E44" s="8" t="str">
        <f>IF(A44="","",'Deal Pipeline Log'!K15)</f>
        <v>Review teaser vs thesis</v>
      </c>
      <c r="F44" s="23">
        <f>IF(A44="","",IF('Deal Pipeline Log'!L15="","",'Deal Pipeline Log'!L15))</f>
        <v>46309</v>
      </c>
      <c r="G44" s="18">
        <f>IF(A44="","",'Deal Pipeline Log'!V15)</f>
        <v>0</v>
      </c>
      <c r="H44" s="8" t="str">
        <f>IF(A44="","",'Deal Pipeline Log'!W15)</f>
        <v>On track</v>
      </c>
    </row>
    <row r="45" spans="1:8" x14ac:dyDescent="0.35">
      <c r="A45" s="8" t="str">
        <f>IF('Deal Pipeline Log'!A16="","",'Deal Pipeline Log'!A16)</f>
        <v/>
      </c>
      <c r="B45" s="8" t="str">
        <f>IF(A45="","",'Deal Pipeline Log'!B16)</f>
        <v/>
      </c>
      <c r="C45" s="8" t="str">
        <f>IF(A45="","",'Deal Pipeline Log'!E16)</f>
        <v/>
      </c>
      <c r="D45" s="8" t="str">
        <f>IF(A45="","",'Deal Pipeline Log'!G16)</f>
        <v/>
      </c>
      <c r="E45" s="8" t="str">
        <f>IF(A45="","",'Deal Pipeline Log'!K16)</f>
        <v/>
      </c>
      <c r="F45" s="23" t="str">
        <f>IF(A45="","",IF('Deal Pipeline Log'!L16="","",'Deal Pipeline Log'!L16))</f>
        <v/>
      </c>
      <c r="G45" s="18" t="str">
        <f>IF(A45="","",'Deal Pipeline Log'!V16)</f>
        <v/>
      </c>
      <c r="H45" s="8" t="str">
        <f>IF(A45="","",'Deal Pipeline Log'!W16)</f>
        <v/>
      </c>
    </row>
    <row r="46" spans="1:8" x14ac:dyDescent="0.35">
      <c r="A46" s="8" t="str">
        <f>IF('Deal Pipeline Log'!A17="","",'Deal Pipeline Log'!A17)</f>
        <v/>
      </c>
      <c r="B46" s="8" t="str">
        <f>IF(A46="","",'Deal Pipeline Log'!B17)</f>
        <v/>
      </c>
      <c r="C46" s="8" t="str">
        <f>IF(A46="","",'Deal Pipeline Log'!E17)</f>
        <v/>
      </c>
      <c r="D46" s="8" t="str">
        <f>IF(A46="","",'Deal Pipeline Log'!G17)</f>
        <v/>
      </c>
      <c r="E46" s="8" t="str">
        <f>IF(A46="","",'Deal Pipeline Log'!K17)</f>
        <v/>
      </c>
      <c r="F46" s="23" t="str">
        <f>IF(A46="","",IF('Deal Pipeline Log'!L17="","",'Deal Pipeline Log'!L17))</f>
        <v/>
      </c>
      <c r="G46" s="18" t="str">
        <f>IF(A46="","",'Deal Pipeline Log'!V17)</f>
        <v/>
      </c>
      <c r="H46" s="8" t="str">
        <f>IF(A46="","",'Deal Pipeline Log'!W17)</f>
        <v/>
      </c>
    </row>
    <row r="47" spans="1:8" x14ac:dyDescent="0.35">
      <c r="A47" s="8" t="str">
        <f>IF('Deal Pipeline Log'!A18="","",'Deal Pipeline Log'!A18)</f>
        <v/>
      </c>
      <c r="B47" s="8" t="str">
        <f>IF(A47="","",'Deal Pipeline Log'!B18)</f>
        <v/>
      </c>
      <c r="C47" s="8" t="str">
        <f>IF(A47="","",'Deal Pipeline Log'!E18)</f>
        <v/>
      </c>
      <c r="D47" s="8" t="str">
        <f>IF(A47="","",'Deal Pipeline Log'!G18)</f>
        <v/>
      </c>
      <c r="E47" s="8" t="str">
        <f>IF(A47="","",'Deal Pipeline Log'!K18)</f>
        <v/>
      </c>
      <c r="F47" s="23" t="str">
        <f>IF(A47="","",IF('Deal Pipeline Log'!L18="","",'Deal Pipeline Log'!L18))</f>
        <v/>
      </c>
      <c r="G47" s="18" t="str">
        <f>IF(A47="","",'Deal Pipeline Log'!V18)</f>
        <v/>
      </c>
      <c r="H47" s="8" t="str">
        <f>IF(A47="","",'Deal Pipeline Log'!W18)</f>
        <v/>
      </c>
    </row>
    <row r="48" spans="1:8" x14ac:dyDescent="0.35">
      <c r="A48" s="8" t="str">
        <f>IF('Deal Pipeline Log'!A19="","",'Deal Pipeline Log'!A19)</f>
        <v/>
      </c>
      <c r="B48" s="8" t="str">
        <f>IF(A48="","",'Deal Pipeline Log'!B19)</f>
        <v/>
      </c>
      <c r="C48" s="8" t="str">
        <f>IF(A48="","",'Deal Pipeline Log'!E19)</f>
        <v/>
      </c>
      <c r="D48" s="8" t="str">
        <f>IF(A48="","",'Deal Pipeline Log'!G19)</f>
        <v/>
      </c>
      <c r="E48" s="8" t="str">
        <f>IF(A48="","",'Deal Pipeline Log'!K19)</f>
        <v/>
      </c>
      <c r="F48" s="23" t="str">
        <f>IF(A48="","",IF('Deal Pipeline Log'!L19="","",'Deal Pipeline Log'!L19))</f>
        <v/>
      </c>
      <c r="G48" s="18" t="str">
        <f>IF(A48="","",'Deal Pipeline Log'!V19)</f>
        <v/>
      </c>
      <c r="H48" s="8" t="str">
        <f>IF(A48="","",'Deal Pipeline Log'!W19)</f>
        <v/>
      </c>
    </row>
    <row r="49" spans="1:8" x14ac:dyDescent="0.35">
      <c r="A49" s="8" t="str">
        <f>IF('Deal Pipeline Log'!A20="","",'Deal Pipeline Log'!A20)</f>
        <v/>
      </c>
      <c r="B49" s="8" t="str">
        <f>IF(A49="","",'Deal Pipeline Log'!B20)</f>
        <v/>
      </c>
      <c r="C49" s="8" t="str">
        <f>IF(A49="","",'Deal Pipeline Log'!E20)</f>
        <v/>
      </c>
      <c r="D49" s="8" t="str">
        <f>IF(A49="","",'Deal Pipeline Log'!G20)</f>
        <v/>
      </c>
      <c r="E49" s="8" t="str">
        <f>IF(A49="","",'Deal Pipeline Log'!K20)</f>
        <v/>
      </c>
      <c r="F49" s="23" t="str">
        <f>IF(A49="","",IF('Deal Pipeline Log'!L20="","",'Deal Pipeline Log'!L20))</f>
        <v/>
      </c>
      <c r="G49" s="18" t="str">
        <f>IF(A49="","",'Deal Pipeline Log'!V20)</f>
        <v/>
      </c>
      <c r="H49" s="8" t="str">
        <f>IF(A49="","",'Deal Pipeline Log'!W20)</f>
        <v/>
      </c>
    </row>
    <row r="50" spans="1:8" x14ac:dyDescent="0.35">
      <c r="A50" s="8" t="str">
        <f>IF('Deal Pipeline Log'!A21="","",'Deal Pipeline Log'!A21)</f>
        <v/>
      </c>
      <c r="B50" s="8" t="str">
        <f>IF(A50="","",'Deal Pipeline Log'!B21)</f>
        <v/>
      </c>
      <c r="C50" s="8" t="str">
        <f>IF(A50="","",'Deal Pipeline Log'!E21)</f>
        <v/>
      </c>
      <c r="D50" s="8" t="str">
        <f>IF(A50="","",'Deal Pipeline Log'!G21)</f>
        <v/>
      </c>
      <c r="E50" s="8" t="str">
        <f>IF(A50="","",'Deal Pipeline Log'!K21)</f>
        <v/>
      </c>
      <c r="F50" s="23" t="str">
        <f>IF(A50="","",IF('Deal Pipeline Log'!L21="","",'Deal Pipeline Log'!L21))</f>
        <v/>
      </c>
      <c r="G50" s="18" t="str">
        <f>IF(A50="","",'Deal Pipeline Log'!V21)</f>
        <v/>
      </c>
      <c r="H50" s="8" t="str">
        <f>IF(A50="","",'Deal Pipeline Log'!W21)</f>
        <v/>
      </c>
    </row>
    <row r="51" spans="1:8" x14ac:dyDescent="0.35">
      <c r="A51" s="8" t="str">
        <f>IF('Deal Pipeline Log'!A22="","",'Deal Pipeline Log'!A22)</f>
        <v/>
      </c>
      <c r="B51" s="8" t="str">
        <f>IF(A51="","",'Deal Pipeline Log'!B22)</f>
        <v/>
      </c>
      <c r="C51" s="8" t="str">
        <f>IF(A51="","",'Deal Pipeline Log'!E22)</f>
        <v/>
      </c>
      <c r="D51" s="8" t="str">
        <f>IF(A51="","",'Deal Pipeline Log'!G22)</f>
        <v/>
      </c>
      <c r="E51" s="8" t="str">
        <f>IF(A51="","",'Deal Pipeline Log'!K22)</f>
        <v/>
      </c>
      <c r="F51" s="23" t="str">
        <f>IF(A51="","",IF('Deal Pipeline Log'!L22="","",'Deal Pipeline Log'!L22))</f>
        <v/>
      </c>
      <c r="G51" s="18" t="str">
        <f>IF(A51="","",'Deal Pipeline Log'!V22)</f>
        <v/>
      </c>
      <c r="H51" s="8" t="str">
        <f>IF(A51="","",'Deal Pipeline Log'!W22)</f>
        <v/>
      </c>
    </row>
    <row r="52" spans="1:8" x14ac:dyDescent="0.35">
      <c r="A52" s="8" t="str">
        <f>IF('Deal Pipeline Log'!A23="","",'Deal Pipeline Log'!A23)</f>
        <v/>
      </c>
      <c r="B52" s="8" t="str">
        <f>IF(A52="","",'Deal Pipeline Log'!B23)</f>
        <v/>
      </c>
      <c r="C52" s="8" t="str">
        <f>IF(A52="","",'Deal Pipeline Log'!E23)</f>
        <v/>
      </c>
      <c r="D52" s="8" t="str">
        <f>IF(A52="","",'Deal Pipeline Log'!G23)</f>
        <v/>
      </c>
      <c r="E52" s="8" t="str">
        <f>IF(A52="","",'Deal Pipeline Log'!K23)</f>
        <v/>
      </c>
      <c r="F52" s="23" t="str">
        <f>IF(A52="","",IF('Deal Pipeline Log'!L23="","",'Deal Pipeline Log'!L23))</f>
        <v/>
      </c>
      <c r="G52" s="18" t="str">
        <f>IF(A52="","",'Deal Pipeline Log'!V23)</f>
        <v/>
      </c>
      <c r="H52" s="8" t="str">
        <f>IF(A52="","",'Deal Pipeline Log'!W23)</f>
        <v/>
      </c>
    </row>
    <row r="53" spans="1:8" x14ac:dyDescent="0.35">
      <c r="A53" s="8" t="str">
        <f>IF('Deal Pipeline Log'!A24="","",'Deal Pipeline Log'!A24)</f>
        <v/>
      </c>
      <c r="B53" s="8" t="str">
        <f>IF(A53="","",'Deal Pipeline Log'!B24)</f>
        <v/>
      </c>
      <c r="C53" s="8" t="str">
        <f>IF(A53="","",'Deal Pipeline Log'!E24)</f>
        <v/>
      </c>
      <c r="D53" s="8" t="str">
        <f>IF(A53="","",'Deal Pipeline Log'!G24)</f>
        <v/>
      </c>
      <c r="E53" s="8" t="str">
        <f>IF(A53="","",'Deal Pipeline Log'!K24)</f>
        <v/>
      </c>
      <c r="F53" s="23" t="str">
        <f>IF(A53="","",IF('Deal Pipeline Log'!L24="","",'Deal Pipeline Log'!L24))</f>
        <v/>
      </c>
      <c r="G53" s="18" t="str">
        <f>IF(A53="","",'Deal Pipeline Log'!V24)</f>
        <v/>
      </c>
      <c r="H53" s="8" t="str">
        <f>IF(A53="","",'Deal Pipeline Log'!W24)</f>
        <v/>
      </c>
    </row>
    <row r="54" spans="1:8" x14ac:dyDescent="0.35">
      <c r="A54" s="8" t="str">
        <f>IF('Deal Pipeline Log'!A25="","",'Deal Pipeline Log'!A25)</f>
        <v/>
      </c>
      <c r="B54" s="8" t="str">
        <f>IF(A54="","",'Deal Pipeline Log'!B25)</f>
        <v/>
      </c>
      <c r="C54" s="8" t="str">
        <f>IF(A54="","",'Deal Pipeline Log'!E25)</f>
        <v/>
      </c>
      <c r="D54" s="8" t="str">
        <f>IF(A54="","",'Deal Pipeline Log'!G25)</f>
        <v/>
      </c>
      <c r="E54" s="8" t="str">
        <f>IF(A54="","",'Deal Pipeline Log'!K25)</f>
        <v/>
      </c>
      <c r="F54" s="23" t="str">
        <f>IF(A54="","",IF('Deal Pipeline Log'!L25="","",'Deal Pipeline Log'!L25))</f>
        <v/>
      </c>
      <c r="G54" s="18" t="str">
        <f>IF(A54="","",'Deal Pipeline Log'!V25)</f>
        <v/>
      </c>
      <c r="H54" s="8" t="str">
        <f>IF(A54="","",'Deal Pipeline Log'!W25)</f>
        <v/>
      </c>
    </row>
    <row r="55" spans="1:8" x14ac:dyDescent="0.35">
      <c r="A55" s="8" t="str">
        <f>IF('Deal Pipeline Log'!A26="","",'Deal Pipeline Log'!A26)</f>
        <v/>
      </c>
      <c r="B55" s="8" t="str">
        <f>IF(A55="","",'Deal Pipeline Log'!B26)</f>
        <v/>
      </c>
      <c r="C55" s="8" t="str">
        <f>IF(A55="","",'Deal Pipeline Log'!E26)</f>
        <v/>
      </c>
      <c r="D55" s="8" t="str">
        <f>IF(A55="","",'Deal Pipeline Log'!G26)</f>
        <v/>
      </c>
      <c r="E55" s="8" t="str">
        <f>IF(A55="","",'Deal Pipeline Log'!K26)</f>
        <v/>
      </c>
      <c r="F55" s="23" t="str">
        <f>IF(A55="","",IF('Deal Pipeline Log'!L26="","",'Deal Pipeline Log'!L26))</f>
        <v/>
      </c>
      <c r="G55" s="18" t="str">
        <f>IF(A55="","",'Deal Pipeline Log'!V26)</f>
        <v/>
      </c>
      <c r="H55" s="8" t="str">
        <f>IF(A55="","",'Deal Pipeline Log'!W26)</f>
        <v/>
      </c>
    </row>
    <row r="56" spans="1:8" x14ac:dyDescent="0.35">
      <c r="A56" s="8" t="str">
        <f>IF('Deal Pipeline Log'!A27="","",'Deal Pipeline Log'!A27)</f>
        <v/>
      </c>
      <c r="B56" s="8" t="str">
        <f>IF(A56="","",'Deal Pipeline Log'!B27)</f>
        <v/>
      </c>
      <c r="C56" s="8" t="str">
        <f>IF(A56="","",'Deal Pipeline Log'!E27)</f>
        <v/>
      </c>
      <c r="D56" s="8" t="str">
        <f>IF(A56="","",'Deal Pipeline Log'!G27)</f>
        <v/>
      </c>
      <c r="E56" s="8" t="str">
        <f>IF(A56="","",'Deal Pipeline Log'!K27)</f>
        <v/>
      </c>
      <c r="F56" s="23" t="str">
        <f>IF(A56="","",IF('Deal Pipeline Log'!L27="","",'Deal Pipeline Log'!L27))</f>
        <v/>
      </c>
      <c r="G56" s="18" t="str">
        <f>IF(A56="","",'Deal Pipeline Log'!V27)</f>
        <v/>
      </c>
      <c r="H56" s="8" t="str">
        <f>IF(A56="","",'Deal Pipeline Log'!W27)</f>
        <v/>
      </c>
    </row>
    <row r="57" spans="1:8" x14ac:dyDescent="0.35">
      <c r="A57" s="8" t="str">
        <f>IF('Deal Pipeline Log'!A28="","",'Deal Pipeline Log'!A28)</f>
        <v/>
      </c>
      <c r="B57" s="8" t="str">
        <f>IF(A57="","",'Deal Pipeline Log'!B28)</f>
        <v/>
      </c>
      <c r="C57" s="8" t="str">
        <f>IF(A57="","",'Deal Pipeline Log'!E28)</f>
        <v/>
      </c>
      <c r="D57" s="8" t="str">
        <f>IF(A57="","",'Deal Pipeline Log'!G28)</f>
        <v/>
      </c>
      <c r="E57" s="8" t="str">
        <f>IF(A57="","",'Deal Pipeline Log'!K28)</f>
        <v/>
      </c>
      <c r="F57" s="23" t="str">
        <f>IF(A57="","",IF('Deal Pipeline Log'!L28="","",'Deal Pipeline Log'!L28))</f>
        <v/>
      </c>
      <c r="G57" s="18" t="str">
        <f>IF(A57="","",'Deal Pipeline Log'!V28)</f>
        <v/>
      </c>
      <c r="H57" s="8" t="str">
        <f>IF(A57="","",'Deal Pipeline Log'!W28)</f>
        <v/>
      </c>
    </row>
    <row r="58" spans="1:8" x14ac:dyDescent="0.35">
      <c r="A58" s="8" t="str">
        <f>IF('Deal Pipeline Log'!A29="","",'Deal Pipeline Log'!A29)</f>
        <v/>
      </c>
      <c r="B58" s="8" t="str">
        <f>IF(A58="","",'Deal Pipeline Log'!B29)</f>
        <v/>
      </c>
      <c r="C58" s="8" t="str">
        <f>IF(A58="","",'Deal Pipeline Log'!E29)</f>
        <v/>
      </c>
      <c r="D58" s="8" t="str">
        <f>IF(A58="","",'Deal Pipeline Log'!G29)</f>
        <v/>
      </c>
      <c r="E58" s="8" t="str">
        <f>IF(A58="","",'Deal Pipeline Log'!K29)</f>
        <v/>
      </c>
      <c r="F58" s="23" t="str">
        <f>IF(A58="","",IF('Deal Pipeline Log'!L29="","",'Deal Pipeline Log'!L29))</f>
        <v/>
      </c>
      <c r="G58" s="18" t="str">
        <f>IF(A58="","",'Deal Pipeline Log'!V29)</f>
        <v/>
      </c>
      <c r="H58" s="8" t="str">
        <f>IF(A58="","",'Deal Pipeline Log'!W29)</f>
        <v/>
      </c>
    </row>
    <row r="59" spans="1:8" x14ac:dyDescent="0.35">
      <c r="A59" s="8" t="str">
        <f>IF('Deal Pipeline Log'!A30="","",'Deal Pipeline Log'!A30)</f>
        <v/>
      </c>
      <c r="B59" s="8" t="str">
        <f>IF(A59="","",'Deal Pipeline Log'!B30)</f>
        <v/>
      </c>
      <c r="C59" s="8" t="str">
        <f>IF(A59="","",'Deal Pipeline Log'!E30)</f>
        <v/>
      </c>
      <c r="D59" s="8" t="str">
        <f>IF(A59="","",'Deal Pipeline Log'!G30)</f>
        <v/>
      </c>
      <c r="E59" s="8" t="str">
        <f>IF(A59="","",'Deal Pipeline Log'!K30)</f>
        <v/>
      </c>
      <c r="F59" s="23" t="str">
        <f>IF(A59="","",IF('Deal Pipeline Log'!L30="","",'Deal Pipeline Log'!L30))</f>
        <v/>
      </c>
      <c r="G59" s="18" t="str">
        <f>IF(A59="","",'Deal Pipeline Log'!V30)</f>
        <v/>
      </c>
      <c r="H59" s="8" t="str">
        <f>IF(A59="","",'Deal Pipeline Log'!W30)</f>
        <v/>
      </c>
    </row>
    <row r="60" spans="1:8" x14ac:dyDescent="0.35">
      <c r="A60" s="8" t="str">
        <f>IF('Deal Pipeline Log'!A31="","",'Deal Pipeline Log'!A31)</f>
        <v/>
      </c>
      <c r="B60" s="8" t="str">
        <f>IF(A60="","",'Deal Pipeline Log'!B31)</f>
        <v/>
      </c>
      <c r="C60" s="8" t="str">
        <f>IF(A60="","",'Deal Pipeline Log'!E31)</f>
        <v/>
      </c>
      <c r="D60" s="8" t="str">
        <f>IF(A60="","",'Deal Pipeline Log'!G31)</f>
        <v/>
      </c>
      <c r="E60" s="8" t="str">
        <f>IF(A60="","",'Deal Pipeline Log'!K31)</f>
        <v/>
      </c>
      <c r="F60" s="23" t="str">
        <f>IF(A60="","",IF('Deal Pipeline Log'!L31="","",'Deal Pipeline Log'!L31))</f>
        <v/>
      </c>
      <c r="G60" s="18" t="str">
        <f>IF(A60="","",'Deal Pipeline Log'!V31)</f>
        <v/>
      </c>
      <c r="H60" s="8" t="str">
        <f>IF(A60="","",'Deal Pipeline Log'!W31)</f>
        <v/>
      </c>
    </row>
    <row r="61" spans="1:8" x14ac:dyDescent="0.35">
      <c r="A61" s="8" t="str">
        <f>IF('Deal Pipeline Log'!A32="","",'Deal Pipeline Log'!A32)</f>
        <v/>
      </c>
      <c r="B61" s="8" t="str">
        <f>IF(A61="","",'Deal Pipeline Log'!B32)</f>
        <v/>
      </c>
      <c r="C61" s="8" t="str">
        <f>IF(A61="","",'Deal Pipeline Log'!E32)</f>
        <v/>
      </c>
      <c r="D61" s="8" t="str">
        <f>IF(A61="","",'Deal Pipeline Log'!G32)</f>
        <v/>
      </c>
      <c r="E61" s="8" t="str">
        <f>IF(A61="","",'Deal Pipeline Log'!K32)</f>
        <v/>
      </c>
      <c r="F61" s="23" t="str">
        <f>IF(A61="","",IF('Deal Pipeline Log'!L32="","",'Deal Pipeline Log'!L32))</f>
        <v/>
      </c>
      <c r="G61" s="18" t="str">
        <f>IF(A61="","",'Deal Pipeline Log'!V32)</f>
        <v/>
      </c>
      <c r="H61" s="8" t="str">
        <f>IF(A61="","",'Deal Pipeline Log'!W32)</f>
        <v/>
      </c>
    </row>
    <row r="62" spans="1:8" x14ac:dyDescent="0.35">
      <c r="A62" s="8" t="str">
        <f>IF('Deal Pipeline Log'!A33="","",'Deal Pipeline Log'!A33)</f>
        <v/>
      </c>
      <c r="B62" s="8" t="str">
        <f>IF(A62="","",'Deal Pipeline Log'!B33)</f>
        <v/>
      </c>
      <c r="C62" s="8" t="str">
        <f>IF(A62="","",'Deal Pipeline Log'!E33)</f>
        <v/>
      </c>
      <c r="D62" s="8" t="str">
        <f>IF(A62="","",'Deal Pipeline Log'!G33)</f>
        <v/>
      </c>
      <c r="E62" s="8" t="str">
        <f>IF(A62="","",'Deal Pipeline Log'!K33)</f>
        <v/>
      </c>
      <c r="F62" s="23" t="str">
        <f>IF(A62="","",IF('Deal Pipeline Log'!L33="","",'Deal Pipeline Log'!L33))</f>
        <v/>
      </c>
      <c r="G62" s="18" t="str">
        <f>IF(A62="","",'Deal Pipeline Log'!V33)</f>
        <v/>
      </c>
      <c r="H62" s="8" t="str">
        <f>IF(A62="","",'Deal Pipeline Log'!W33)</f>
        <v/>
      </c>
    </row>
    <row r="63" spans="1:8" x14ac:dyDescent="0.35">
      <c r="A63" s="8" t="str">
        <f>IF('Deal Pipeline Log'!A34="","",'Deal Pipeline Log'!A34)</f>
        <v/>
      </c>
      <c r="B63" s="8" t="str">
        <f>IF(A63="","",'Deal Pipeline Log'!B34)</f>
        <v/>
      </c>
      <c r="C63" s="8" t="str">
        <f>IF(A63="","",'Deal Pipeline Log'!E34)</f>
        <v/>
      </c>
      <c r="D63" s="8" t="str">
        <f>IF(A63="","",'Deal Pipeline Log'!G34)</f>
        <v/>
      </c>
      <c r="E63" s="8" t="str">
        <f>IF(A63="","",'Deal Pipeline Log'!K34)</f>
        <v/>
      </c>
      <c r="F63" s="23" t="str">
        <f>IF(A63="","",IF('Deal Pipeline Log'!L34="","",'Deal Pipeline Log'!L34))</f>
        <v/>
      </c>
      <c r="G63" s="18" t="str">
        <f>IF(A63="","",'Deal Pipeline Log'!V34)</f>
        <v/>
      </c>
      <c r="H63" s="8" t="str">
        <f>IF(A63="","",'Deal Pipeline Log'!W34)</f>
        <v/>
      </c>
    </row>
    <row r="64" spans="1:8" x14ac:dyDescent="0.35">
      <c r="A64" s="8" t="str">
        <f>IF('Deal Pipeline Log'!A35="","",'Deal Pipeline Log'!A35)</f>
        <v/>
      </c>
      <c r="B64" s="8" t="str">
        <f>IF(A64="","",'Deal Pipeline Log'!B35)</f>
        <v/>
      </c>
      <c r="C64" s="8" t="str">
        <f>IF(A64="","",'Deal Pipeline Log'!E35)</f>
        <v/>
      </c>
      <c r="D64" s="8" t="str">
        <f>IF(A64="","",'Deal Pipeline Log'!G35)</f>
        <v/>
      </c>
      <c r="E64" s="8" t="str">
        <f>IF(A64="","",'Deal Pipeline Log'!K35)</f>
        <v/>
      </c>
      <c r="F64" s="23" t="str">
        <f>IF(A64="","",IF('Deal Pipeline Log'!L35="","",'Deal Pipeline Log'!L35))</f>
        <v/>
      </c>
      <c r="G64" s="18" t="str">
        <f>IF(A64="","",'Deal Pipeline Log'!V35)</f>
        <v/>
      </c>
      <c r="H64" s="8" t="str">
        <f>IF(A64="","",'Deal Pipeline Log'!W35)</f>
        <v/>
      </c>
    </row>
    <row r="65" spans="1:8" x14ac:dyDescent="0.35">
      <c r="A65" s="8" t="str">
        <f>IF('Deal Pipeline Log'!A36="","",'Deal Pipeline Log'!A36)</f>
        <v/>
      </c>
      <c r="B65" s="8" t="str">
        <f>IF(A65="","",'Deal Pipeline Log'!B36)</f>
        <v/>
      </c>
      <c r="C65" s="8" t="str">
        <f>IF(A65="","",'Deal Pipeline Log'!E36)</f>
        <v/>
      </c>
      <c r="D65" s="8" t="str">
        <f>IF(A65="","",'Deal Pipeline Log'!G36)</f>
        <v/>
      </c>
      <c r="E65" s="8" t="str">
        <f>IF(A65="","",'Deal Pipeline Log'!K36)</f>
        <v/>
      </c>
      <c r="F65" s="23" t="str">
        <f>IF(A65="","",IF('Deal Pipeline Log'!L36="","",'Deal Pipeline Log'!L36))</f>
        <v/>
      </c>
      <c r="G65" s="18" t="str">
        <f>IF(A65="","",'Deal Pipeline Log'!V36)</f>
        <v/>
      </c>
      <c r="H65" s="8" t="str">
        <f>IF(A65="","",'Deal Pipeline Log'!W36)</f>
        <v/>
      </c>
    </row>
    <row r="66" spans="1:8" x14ac:dyDescent="0.35">
      <c r="A66" s="8" t="str">
        <f>IF('Deal Pipeline Log'!A37="","",'Deal Pipeline Log'!A37)</f>
        <v/>
      </c>
      <c r="B66" s="8" t="str">
        <f>IF(A66="","",'Deal Pipeline Log'!B37)</f>
        <v/>
      </c>
      <c r="C66" s="8" t="str">
        <f>IF(A66="","",'Deal Pipeline Log'!E37)</f>
        <v/>
      </c>
      <c r="D66" s="8" t="str">
        <f>IF(A66="","",'Deal Pipeline Log'!G37)</f>
        <v/>
      </c>
      <c r="E66" s="8" t="str">
        <f>IF(A66="","",'Deal Pipeline Log'!K37)</f>
        <v/>
      </c>
      <c r="F66" s="23" t="str">
        <f>IF(A66="","",IF('Deal Pipeline Log'!L37="","",'Deal Pipeline Log'!L37))</f>
        <v/>
      </c>
      <c r="G66" s="18" t="str">
        <f>IF(A66="","",'Deal Pipeline Log'!V37)</f>
        <v/>
      </c>
      <c r="H66" s="8" t="str">
        <f>IF(A66="","",'Deal Pipeline Log'!W37)</f>
        <v/>
      </c>
    </row>
    <row r="67" spans="1:8" x14ac:dyDescent="0.35">
      <c r="A67" s="8" t="str">
        <f>IF('Deal Pipeline Log'!A38="","",'Deal Pipeline Log'!A38)</f>
        <v/>
      </c>
      <c r="B67" s="8" t="str">
        <f>IF(A67="","",'Deal Pipeline Log'!B38)</f>
        <v/>
      </c>
      <c r="C67" s="8" t="str">
        <f>IF(A67="","",'Deal Pipeline Log'!E38)</f>
        <v/>
      </c>
      <c r="D67" s="8" t="str">
        <f>IF(A67="","",'Deal Pipeline Log'!G38)</f>
        <v/>
      </c>
      <c r="E67" s="8" t="str">
        <f>IF(A67="","",'Deal Pipeline Log'!K38)</f>
        <v/>
      </c>
      <c r="F67" s="23" t="str">
        <f>IF(A67="","",IF('Deal Pipeline Log'!L38="","",'Deal Pipeline Log'!L38))</f>
        <v/>
      </c>
      <c r="G67" s="18" t="str">
        <f>IF(A67="","",'Deal Pipeline Log'!V38)</f>
        <v/>
      </c>
      <c r="H67" s="8" t="str">
        <f>IF(A67="","",'Deal Pipeline Log'!W38)</f>
        <v/>
      </c>
    </row>
    <row r="68" spans="1:8" x14ac:dyDescent="0.35">
      <c r="A68" s="8" t="str">
        <f>IF('Deal Pipeline Log'!A39="","",'Deal Pipeline Log'!A39)</f>
        <v/>
      </c>
      <c r="B68" s="8" t="str">
        <f>IF(A68="","",'Deal Pipeline Log'!B39)</f>
        <v/>
      </c>
      <c r="C68" s="8" t="str">
        <f>IF(A68="","",'Deal Pipeline Log'!E39)</f>
        <v/>
      </c>
      <c r="D68" s="8" t="str">
        <f>IF(A68="","",'Deal Pipeline Log'!G39)</f>
        <v/>
      </c>
      <c r="E68" s="8" t="str">
        <f>IF(A68="","",'Deal Pipeline Log'!K39)</f>
        <v/>
      </c>
      <c r="F68" s="23" t="str">
        <f>IF(A68="","",IF('Deal Pipeline Log'!L39="","",'Deal Pipeline Log'!L39))</f>
        <v/>
      </c>
      <c r="G68" s="18" t="str">
        <f>IF(A68="","",'Deal Pipeline Log'!V39)</f>
        <v/>
      </c>
      <c r="H68" s="8" t="str">
        <f>IF(A68="","",'Deal Pipeline Log'!W39)</f>
        <v/>
      </c>
    </row>
    <row r="69" spans="1:8" x14ac:dyDescent="0.35">
      <c r="A69" s="8" t="str">
        <f>IF('Deal Pipeline Log'!A40="","",'Deal Pipeline Log'!A40)</f>
        <v/>
      </c>
      <c r="B69" s="8" t="str">
        <f>IF(A69="","",'Deal Pipeline Log'!B40)</f>
        <v/>
      </c>
      <c r="C69" s="8" t="str">
        <f>IF(A69="","",'Deal Pipeline Log'!E40)</f>
        <v/>
      </c>
      <c r="D69" s="8" t="str">
        <f>IF(A69="","",'Deal Pipeline Log'!G40)</f>
        <v/>
      </c>
      <c r="E69" s="8" t="str">
        <f>IF(A69="","",'Deal Pipeline Log'!K40)</f>
        <v/>
      </c>
      <c r="F69" s="23" t="str">
        <f>IF(A69="","",IF('Deal Pipeline Log'!L40="","",'Deal Pipeline Log'!L40))</f>
        <v/>
      </c>
      <c r="G69" s="18" t="str">
        <f>IF(A69="","",'Deal Pipeline Log'!V40)</f>
        <v/>
      </c>
      <c r="H69" s="8" t="str">
        <f>IF(A69="","",'Deal Pipeline Log'!W40)</f>
        <v/>
      </c>
    </row>
    <row r="70" spans="1:8" x14ac:dyDescent="0.35">
      <c r="A70" s="8" t="str">
        <f>IF('Deal Pipeline Log'!A41="","",'Deal Pipeline Log'!A41)</f>
        <v/>
      </c>
      <c r="B70" s="8" t="str">
        <f>IF(A70="","",'Deal Pipeline Log'!B41)</f>
        <v/>
      </c>
      <c r="C70" s="8" t="str">
        <f>IF(A70="","",'Deal Pipeline Log'!E41)</f>
        <v/>
      </c>
      <c r="D70" s="8" t="str">
        <f>IF(A70="","",'Deal Pipeline Log'!G41)</f>
        <v/>
      </c>
      <c r="E70" s="8" t="str">
        <f>IF(A70="","",'Deal Pipeline Log'!K41)</f>
        <v/>
      </c>
      <c r="F70" s="23" t="str">
        <f>IF(A70="","",IF('Deal Pipeline Log'!L41="","",'Deal Pipeline Log'!L41))</f>
        <v/>
      </c>
      <c r="G70" s="18" t="str">
        <f>IF(A70="","",'Deal Pipeline Log'!V41)</f>
        <v/>
      </c>
      <c r="H70" s="8" t="str">
        <f>IF(A70="","",'Deal Pipeline Log'!W41)</f>
        <v/>
      </c>
    </row>
    <row r="71" spans="1:8" x14ac:dyDescent="0.35">
      <c r="A71" s="8" t="str">
        <f>IF('Deal Pipeline Log'!A42="","",'Deal Pipeline Log'!A42)</f>
        <v/>
      </c>
      <c r="B71" s="8" t="str">
        <f>IF(A71="","",'Deal Pipeline Log'!B42)</f>
        <v/>
      </c>
      <c r="C71" s="8" t="str">
        <f>IF(A71="","",'Deal Pipeline Log'!E42)</f>
        <v/>
      </c>
      <c r="D71" s="8" t="str">
        <f>IF(A71="","",'Deal Pipeline Log'!G42)</f>
        <v/>
      </c>
      <c r="E71" s="8" t="str">
        <f>IF(A71="","",'Deal Pipeline Log'!K42)</f>
        <v/>
      </c>
      <c r="F71" s="23" t="str">
        <f>IF(A71="","",IF('Deal Pipeline Log'!L42="","",'Deal Pipeline Log'!L42))</f>
        <v/>
      </c>
      <c r="G71" s="18" t="str">
        <f>IF(A71="","",'Deal Pipeline Log'!V42)</f>
        <v/>
      </c>
      <c r="H71" s="8" t="str">
        <f>IF(A71="","",'Deal Pipeline Log'!W42)</f>
        <v/>
      </c>
    </row>
    <row r="72" spans="1:8" x14ac:dyDescent="0.35">
      <c r="A72" s="8" t="str">
        <f>IF('Deal Pipeline Log'!A43="","",'Deal Pipeline Log'!A43)</f>
        <v/>
      </c>
      <c r="B72" s="8" t="str">
        <f>IF(A72="","",'Deal Pipeline Log'!B43)</f>
        <v/>
      </c>
      <c r="C72" s="8" t="str">
        <f>IF(A72="","",'Deal Pipeline Log'!E43)</f>
        <v/>
      </c>
      <c r="D72" s="8" t="str">
        <f>IF(A72="","",'Deal Pipeline Log'!G43)</f>
        <v/>
      </c>
      <c r="E72" s="8" t="str">
        <f>IF(A72="","",'Deal Pipeline Log'!K43)</f>
        <v/>
      </c>
      <c r="F72" s="23" t="str">
        <f>IF(A72="","",IF('Deal Pipeline Log'!L43="","",'Deal Pipeline Log'!L43))</f>
        <v/>
      </c>
      <c r="G72" s="18" t="str">
        <f>IF(A72="","",'Deal Pipeline Log'!V43)</f>
        <v/>
      </c>
      <c r="H72" s="8" t="str">
        <f>IF(A72="","",'Deal Pipeline Log'!W43)</f>
        <v/>
      </c>
    </row>
  </sheetData>
  <conditionalFormatting sqref="H33:H72">
    <cfRule type="expression" dxfId="3" priority="3">
      <formula>LEFT($H33,7)="OVERDUE"</formula>
    </cfRule>
    <cfRule type="expression" dxfId="2" priority="4">
      <formula>LEFT($H33,6)="DUE IN"</formula>
    </cfRule>
  </conditionalFormatting>
  <conditionalFormatting sqref="I5:I29">
    <cfRule type="expression" dxfId="1" priority="1">
      <formula>LEFT($I5,7)="OVERDUE"</formula>
    </cfRule>
    <cfRule type="expression" dxfId="0" priority="2">
      <formula>LEFT($I5,6)="DUE IN"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0" customWidth="1"/>
    <col min="2" max="2" width="34" customWidth="1"/>
    <col min="3" max="3" width="16" customWidth="1"/>
    <col min="4" max="4" width="20" customWidth="1"/>
    <col min="5" max="5" width="22" customWidth="1"/>
    <col min="6" max="6" width="20" customWidth="1"/>
  </cols>
  <sheetData>
    <row r="1" spans="1:6" ht="18.5" x14ac:dyDescent="0.45">
      <c r="A1" s="1" t="s">
        <v>23</v>
      </c>
      <c r="B1" s="2"/>
      <c r="C1" s="2"/>
      <c r="D1" s="2"/>
      <c r="E1" s="2"/>
      <c r="F1" s="2"/>
    </row>
    <row r="2" spans="1:6" x14ac:dyDescent="0.35">
      <c r="A2" s="3" t="s">
        <v>262</v>
      </c>
    </row>
    <row r="3" spans="1:6" x14ac:dyDescent="0.35">
      <c r="A3" s="5" t="s">
        <v>263</v>
      </c>
      <c r="B3" s="5" t="s">
        <v>62</v>
      </c>
      <c r="C3" s="5" t="s">
        <v>264</v>
      </c>
    </row>
    <row r="4" spans="1:6" x14ac:dyDescent="0.35">
      <c r="A4" s="7" t="s">
        <v>65</v>
      </c>
      <c r="B4" s="23">
        <f>'Settings and Scoring Rules'!$B$4</f>
        <v>46299</v>
      </c>
      <c r="C4" s="6" t="s">
        <v>265</v>
      </c>
    </row>
    <row r="5" spans="1:6" ht="29" x14ac:dyDescent="0.35">
      <c r="A5" s="7" t="s">
        <v>266</v>
      </c>
      <c r="B5" s="18">
        <f>COUNTA('Intermediary Directory'!$A$4:$A$28)</f>
        <v>10</v>
      </c>
      <c r="C5" s="6" t="s">
        <v>267</v>
      </c>
    </row>
    <row r="6" spans="1:6" ht="29" x14ac:dyDescent="0.35">
      <c r="A6" s="7" t="s">
        <v>268</v>
      </c>
      <c r="B6" s="18">
        <f>COUNTA('Deal Pipeline Log'!$A$4:$A$43)</f>
        <v>12</v>
      </c>
      <c r="C6" s="6" t="s">
        <v>269</v>
      </c>
    </row>
    <row r="7" spans="1:6" x14ac:dyDescent="0.35">
      <c r="A7" s="7" t="s">
        <v>136</v>
      </c>
      <c r="B7" s="18">
        <f>SUM('Deal Pipeline Log'!$N$4:$N$43)</f>
        <v>10</v>
      </c>
      <c r="C7" s="6" t="s">
        <v>270</v>
      </c>
    </row>
    <row r="8" spans="1:6" x14ac:dyDescent="0.35">
      <c r="A8" s="7" t="s">
        <v>271</v>
      </c>
      <c r="B8" s="18">
        <f>B6-B7</f>
        <v>2</v>
      </c>
      <c r="C8" s="6" t="s">
        <v>272</v>
      </c>
    </row>
    <row r="9" spans="1:6" x14ac:dyDescent="0.35">
      <c r="A9" s="7" t="s">
        <v>273</v>
      </c>
      <c r="B9" s="18">
        <f>COUNTIFS('Deal Pipeline Log'!$N$4:$N$43,1,'Deal Pipeline Log'!$O$4:$O$43,1)</f>
        <v>8</v>
      </c>
      <c r="C9" s="6" t="s">
        <v>274</v>
      </c>
    </row>
    <row r="10" spans="1:6" x14ac:dyDescent="0.35">
      <c r="A10" s="7" t="s">
        <v>275</v>
      </c>
      <c r="B10" s="22">
        <f>SUM('Deal Pipeline Log'!$X$4:$X$43)</f>
        <v>21.98</v>
      </c>
      <c r="C10" s="6" t="s">
        <v>276</v>
      </c>
    </row>
    <row r="11" spans="1:6" x14ac:dyDescent="0.35">
      <c r="A11" s="7" t="s">
        <v>277</v>
      </c>
      <c r="B11" s="18">
        <f>COUNTIF('Deal Pipeline Log'!$W$4:$W$43,"OVERDUE*")</f>
        <v>4</v>
      </c>
      <c r="C11" s="6" t="s">
        <v>278</v>
      </c>
    </row>
    <row r="12" spans="1:6" x14ac:dyDescent="0.35">
      <c r="A12" s="7" t="s">
        <v>279</v>
      </c>
      <c r="B12" s="18">
        <f>COUNTIF('Follow-Up Cadence Tracker'!$I$5:$I$29,"OVERDUE*")</f>
        <v>4</v>
      </c>
      <c r="C12" s="6" t="s">
        <v>280</v>
      </c>
    </row>
    <row r="13" spans="1:6" ht="29" x14ac:dyDescent="0.35">
      <c r="A13" s="7" t="s">
        <v>281</v>
      </c>
      <c r="B13" s="18">
        <f>COUNTIF('Deal Pipeline Log'!$W$4:$W$43,"DUE IN*")+COUNTIF('Follow-Up Cadence Tracker'!$I$5:$I$29,"DUE IN*")</f>
        <v>5</v>
      </c>
      <c r="C13" s="6" t="s">
        <v>282</v>
      </c>
    </row>
    <row r="14" spans="1:6" x14ac:dyDescent="0.35">
      <c r="A14" s="7" t="s">
        <v>283</v>
      </c>
      <c r="B14" s="18">
        <f>COUNTIF('Deal Pipeline Log'!$W$4:$W$43,"STALE")+COUNTIF('Deal Pipeline Log'!$W$4:$W$43,"NO NEXT ACTION")</f>
        <v>0</v>
      </c>
      <c r="C14" s="6" t="s">
        <v>278</v>
      </c>
    </row>
    <row r="15" spans="1:6" ht="46" customHeight="1" x14ac:dyDescent="0.35">
      <c r="A15" s="7" t="s">
        <v>284</v>
      </c>
      <c r="B15" s="24" t="str">
        <f>IF(B11+B12=0,"HEALTHY - no overdue follow-ups",IF(B11+B12&lt;=3,"ATTENTION - clear overdue follow-ups this week","AT RISK - "&amp;(B11+B12)&amp;" overdue follow-ups; clear backlog before new outreach"))</f>
        <v>AT RISK - 8 overdue follow-ups; clear backlog before new outreach</v>
      </c>
      <c r="C15" s="6" t="s">
        <v>285</v>
      </c>
    </row>
    <row r="17" spans="1:6" ht="15.5" x14ac:dyDescent="0.35">
      <c r="A17" s="4" t="s">
        <v>286</v>
      </c>
    </row>
    <row r="18" spans="1:6" x14ac:dyDescent="0.35">
      <c r="A18" s="5" t="s">
        <v>287</v>
      </c>
      <c r="B18" s="5" t="s">
        <v>288</v>
      </c>
      <c r="C18" s="5" t="s">
        <v>289</v>
      </c>
      <c r="D18" s="5" t="s">
        <v>92</v>
      </c>
      <c r="E18" s="5" t="s">
        <v>261</v>
      </c>
      <c r="F18" s="5" t="s">
        <v>213</v>
      </c>
    </row>
    <row r="19" spans="1:6" x14ac:dyDescent="0.35">
      <c r="A19" s="25">
        <v>1</v>
      </c>
      <c r="B19" s="8" t="str">
        <f>IFERROR(INDEX('Deal Pipeline Log'!$B$4:$B$43,MATCH($A19,'Deal Pipeline Log'!$T$4:$T$43,0)),"-")</f>
        <v>Project Falcon</v>
      </c>
      <c r="C19" s="19">
        <f>IFERROR(INDEX('Deal Pipeline Log'!$R$4:$R$43,MATCH($A19,'Deal Pipeline Log'!$T$4:$T$43,0)),"-")</f>
        <v>91</v>
      </c>
      <c r="D19" s="8" t="str">
        <f>IFERROR(INDEX('Deal Pipeline Log'!$G$4:$G$43,MATCH($A19,'Deal Pipeline Log'!$T$4:$T$43,0)),"-")</f>
        <v>LOI Submitted</v>
      </c>
      <c r="E19" s="8" t="str">
        <f>IFERROR(INDEX('Deal Pipeline Log'!$E$4:$E$43,MATCH($A19,'Deal Pipeline Log'!$T$4:$T$43,0)),"-")</f>
        <v>Operator H</v>
      </c>
      <c r="F19" s="8" t="str">
        <f>IFERROR(INDEX('Deal Pipeline Log'!$W$4:$W$43,MATCH($A19,'Deal Pipeline Log'!$T$4:$T$43,0)),"-")</f>
        <v>DUE IN 2d</v>
      </c>
    </row>
    <row r="20" spans="1:6" x14ac:dyDescent="0.35">
      <c r="A20" s="25">
        <v>2</v>
      </c>
      <c r="B20" s="8" t="str">
        <f>IFERROR(INDEX('Deal Pipeline Log'!$B$4:$B$43,MATCH($A20,'Deal Pipeline Log'!$T$4:$T$43,0)),"-")</f>
        <v>Project Atlas</v>
      </c>
      <c r="C20" s="19">
        <f>IFERROR(INDEX('Deal Pipeline Log'!$R$4:$R$43,MATCH($A20,'Deal Pipeline Log'!$T$4:$T$43,0)),"-")</f>
        <v>79</v>
      </c>
      <c r="D20" s="8" t="str">
        <f>IFERROR(INDEX('Deal Pipeline Log'!$G$4:$G$43,MATCH($A20,'Deal Pipeline Log'!$T$4:$T$43,0)),"-")</f>
        <v>Management Meeting</v>
      </c>
      <c r="E20" s="8" t="str">
        <f>IFERROR(INDEX('Deal Pipeline Log'!$E$4:$E$43,MATCH($A20,'Deal Pipeline Log'!$T$4:$T$43,0)),"-")</f>
        <v>Banker A</v>
      </c>
      <c r="F20" s="8" t="str">
        <f>IFERROR(INDEX('Deal Pipeline Log'!$W$4:$W$43,MATCH($A20,'Deal Pipeline Log'!$T$4:$T$43,0)),"-")</f>
        <v>DUE IN 4d</v>
      </c>
    </row>
    <row r="21" spans="1:6" x14ac:dyDescent="0.35">
      <c r="A21" s="25">
        <v>3</v>
      </c>
      <c r="B21" s="8" t="str">
        <f>IFERROR(INDEX('Deal Pipeline Log'!$B$4:$B$43,MATCH($A21,'Deal Pipeline Log'!$T$4:$T$43,0)),"-")</f>
        <v>Project Cedar</v>
      </c>
      <c r="C21" s="19">
        <f>IFERROR(INDEX('Deal Pipeline Log'!$R$4:$R$43,MATCH($A21,'Deal Pipeline Log'!$T$4:$T$43,0)),"-")</f>
        <v>63.5</v>
      </c>
      <c r="D21" s="8" t="str">
        <f>IFERROR(INDEX('Deal Pipeline Log'!$G$4:$G$43,MATCH($A21,'Deal Pipeline Log'!$T$4:$T$43,0)),"-")</f>
        <v>CIM Review</v>
      </c>
      <c r="E21" s="8" t="str">
        <f>IFERROR(INDEX('Deal Pipeline Log'!$E$4:$E$43,MATCH($A21,'Deal Pipeline Log'!$T$4:$T$43,0)),"-")</f>
        <v>Broker C</v>
      </c>
      <c r="F21" s="8" t="str">
        <f>IFERROR(INDEX('Deal Pipeline Log'!$W$4:$W$43,MATCH($A21,'Deal Pipeline Log'!$T$4:$T$43,0)),"-")</f>
        <v>OVERDUE 8d</v>
      </c>
    </row>
    <row r="22" spans="1:6" x14ac:dyDescent="0.35">
      <c r="A22" s="25">
        <v>4</v>
      </c>
      <c r="B22" s="8" t="str">
        <f>IFERROR(INDEX('Deal Pipeline Log'!$B$4:$B$43,MATCH($A22,'Deal Pipeline Log'!$T$4:$T$43,0)),"-")</f>
        <v>Project Juniper</v>
      </c>
      <c r="C22" s="19">
        <f>IFERROR(INDEX('Deal Pipeline Log'!$R$4:$R$43,MATCH($A22,'Deal Pipeline Log'!$T$4:$T$43,0)),"-")</f>
        <v>62</v>
      </c>
      <c r="D22" s="8" t="str">
        <f>IFERROR(INDEX('Deal Pipeline Log'!$G$4:$G$43,MATCH($A22,'Deal Pipeline Log'!$T$4:$T$43,0)),"-")</f>
        <v>IOI Submitted</v>
      </c>
      <c r="E22" s="8" t="str">
        <f>IFERROR(INDEX('Deal Pipeline Log'!$E$4:$E$43,MATCH($A22,'Deal Pipeline Log'!$T$4:$T$43,0)),"-")</f>
        <v>Attorney G</v>
      </c>
      <c r="F22" s="8" t="str">
        <f>IFERROR(INDEX('Deal Pipeline Log'!$W$4:$W$43,MATCH($A22,'Deal Pipeline Log'!$T$4:$T$43,0)),"-")</f>
        <v>DUE IN 5d</v>
      </c>
    </row>
    <row r="23" spans="1:6" x14ac:dyDescent="0.35">
      <c r="A23" s="25">
        <v>5</v>
      </c>
      <c r="B23" s="8" t="str">
        <f>IFERROR(INDEX('Deal Pipeline Log'!$B$4:$B$43,MATCH($A23,'Deal Pipeline Log'!$T$4:$T$43,0)),"-")</f>
        <v>Project Iris</v>
      </c>
      <c r="C23" s="19">
        <f>IFERROR(INDEX('Deal Pipeline Log'!$R$4:$R$43,MATCH($A23,'Deal Pipeline Log'!$T$4:$T$43,0)),"-")</f>
        <v>61.5</v>
      </c>
      <c r="D23" s="8" t="str">
        <f>IFERROR(INDEX('Deal Pipeline Log'!$G$4:$G$43,MATCH($A23,'Deal Pipeline Log'!$T$4:$T$43,0)),"-")</f>
        <v>Sourced</v>
      </c>
      <c r="E23" s="8" t="str">
        <f>IFERROR(INDEX('Deal Pipeline Log'!$E$4:$E$43,MATCH($A23,'Deal Pipeline Log'!$T$4:$T$43,0)),"-")</f>
        <v>Founder J</v>
      </c>
      <c r="F23" s="8" t="str">
        <f>IFERROR(INDEX('Deal Pipeline Log'!$W$4:$W$43,MATCH($A23,'Deal Pipeline Log'!$T$4:$T$43,0)),"-")</f>
        <v>On track</v>
      </c>
    </row>
    <row r="25" spans="1:6" ht="15.5" x14ac:dyDescent="0.35">
      <c r="A25" s="4" t="s">
        <v>290</v>
      </c>
    </row>
    <row r="26" spans="1:6" ht="29" x14ac:dyDescent="0.35">
      <c r="A26" s="5" t="s">
        <v>92</v>
      </c>
      <c r="B26" s="5" t="s">
        <v>291</v>
      </c>
      <c r="C26" s="5" t="s">
        <v>292</v>
      </c>
      <c r="D26" s="5" t="s">
        <v>293</v>
      </c>
      <c r="E26" s="5" t="s">
        <v>214</v>
      </c>
    </row>
    <row r="27" spans="1:6" x14ac:dyDescent="0.35">
      <c r="A27" s="26" t="str">
        <f>'Settings and Scoring Rules'!A19</f>
        <v>Sourced</v>
      </c>
      <c r="B27" s="18">
        <f>COUNTIF('Deal Pipeline Log'!$G$4:$G$43,$A27)</f>
        <v>2</v>
      </c>
      <c r="C27" s="18">
        <f>COUNTIFS('Deal Pipeline Log'!$G$4:$G$43,$A27,'Deal Pipeline Log'!$N$4:$N$43,1)</f>
        <v>2</v>
      </c>
      <c r="D27" s="22">
        <f>SUMIF('Deal Pipeline Log'!$G$4:$G$43,$A27,'Deal Pipeline Log'!$H$4:$H$43)</f>
        <v>7.9</v>
      </c>
      <c r="E27" s="22">
        <f>SUMIF('Deal Pipeline Log'!$G$4:$G$43,$A27,'Deal Pipeline Log'!$X$4:$X$43)</f>
        <v>0.39500000000000002</v>
      </c>
    </row>
    <row r="28" spans="1:6" x14ac:dyDescent="0.35">
      <c r="A28" s="26" t="str">
        <f>'Settings and Scoring Rules'!A20</f>
        <v>NDA / Teaser</v>
      </c>
      <c r="B28" s="18">
        <f>COUNTIF('Deal Pipeline Log'!$G$4:$G$43,$A28)</f>
        <v>2</v>
      </c>
      <c r="C28" s="18">
        <f>COUNTIFS('Deal Pipeline Log'!$G$4:$G$43,$A28,'Deal Pipeline Log'!$N$4:$N$43,1)</f>
        <v>2</v>
      </c>
      <c r="D28" s="22">
        <f>SUMIF('Deal Pipeline Log'!$G$4:$G$43,$A28,'Deal Pipeline Log'!$H$4:$H$43)</f>
        <v>9.1</v>
      </c>
      <c r="E28" s="22">
        <f>SUMIF('Deal Pipeline Log'!$G$4:$G$43,$A28,'Deal Pipeline Log'!$X$4:$X$43)</f>
        <v>0.91000000000000014</v>
      </c>
    </row>
    <row r="29" spans="1:6" x14ac:dyDescent="0.35">
      <c r="A29" s="26" t="str">
        <f>'Settings and Scoring Rules'!A21</f>
        <v>CIM Review</v>
      </c>
      <c r="B29" s="18">
        <f>COUNTIF('Deal Pipeline Log'!$G$4:$G$43,$A29)</f>
        <v>2</v>
      </c>
      <c r="C29" s="18">
        <f>COUNTIFS('Deal Pipeline Log'!$G$4:$G$43,$A29,'Deal Pipeline Log'!$N$4:$N$43,1)</f>
        <v>2</v>
      </c>
      <c r="D29" s="22">
        <f>SUMIF('Deal Pipeline Log'!$G$4:$G$43,$A29,'Deal Pipeline Log'!$H$4:$H$43)</f>
        <v>22.2</v>
      </c>
      <c r="E29" s="22">
        <f>SUMIF('Deal Pipeline Log'!$G$4:$G$43,$A29,'Deal Pipeline Log'!$X$4:$X$43)</f>
        <v>4.4400000000000004</v>
      </c>
    </row>
    <row r="30" spans="1:6" x14ac:dyDescent="0.35">
      <c r="A30" s="26" t="str">
        <f>'Settings and Scoring Rules'!A22</f>
        <v>IOI Submitted</v>
      </c>
      <c r="B30" s="18">
        <f>COUNTIF('Deal Pipeline Log'!$G$4:$G$43,$A30)</f>
        <v>2</v>
      </c>
      <c r="C30" s="18">
        <f>COUNTIFS('Deal Pipeline Log'!$G$4:$G$43,$A30,'Deal Pipeline Log'!$N$4:$N$43,1)</f>
        <v>2</v>
      </c>
      <c r="D30" s="22">
        <f>SUMIF('Deal Pipeline Log'!$G$4:$G$43,$A30,'Deal Pipeline Log'!$H$4:$H$43)</f>
        <v>21.5</v>
      </c>
      <c r="E30" s="22">
        <f>SUMIF('Deal Pipeline Log'!$G$4:$G$43,$A30,'Deal Pipeline Log'!$X$4:$X$43)</f>
        <v>7.5250000000000004</v>
      </c>
    </row>
    <row r="31" spans="1:6" x14ac:dyDescent="0.35">
      <c r="A31" s="26" t="str">
        <f>'Settings and Scoring Rules'!A23</f>
        <v>Management Meeting</v>
      </c>
      <c r="B31" s="18">
        <f>COUNTIF('Deal Pipeline Log'!$G$4:$G$43,$A31)</f>
        <v>1</v>
      </c>
      <c r="C31" s="18">
        <f>COUNTIFS('Deal Pipeline Log'!$G$4:$G$43,$A31,'Deal Pipeline Log'!$N$4:$N$43,1)</f>
        <v>1</v>
      </c>
      <c r="D31" s="22">
        <f>SUMIF('Deal Pipeline Log'!$G$4:$G$43,$A31,'Deal Pipeline Log'!$H$4:$H$43)</f>
        <v>6.5</v>
      </c>
      <c r="E31" s="22">
        <f>SUMIF('Deal Pipeline Log'!$G$4:$G$43,$A31,'Deal Pipeline Log'!$X$4:$X$43)</f>
        <v>3.25</v>
      </c>
    </row>
    <row r="32" spans="1:6" x14ac:dyDescent="0.35">
      <c r="A32" s="26" t="str">
        <f>'Settings and Scoring Rules'!A24</f>
        <v>LOI Submitted</v>
      </c>
      <c r="B32" s="18">
        <f>COUNTIF('Deal Pipeline Log'!$G$4:$G$43,$A32)</f>
        <v>1</v>
      </c>
      <c r="C32" s="18">
        <f>COUNTIFS('Deal Pipeline Log'!$G$4:$G$43,$A32,'Deal Pipeline Log'!$N$4:$N$43,1)</f>
        <v>1</v>
      </c>
      <c r="D32" s="22">
        <f>SUMIF('Deal Pipeline Log'!$G$4:$G$43,$A32,'Deal Pipeline Log'!$H$4:$H$43)</f>
        <v>7.8</v>
      </c>
      <c r="E32" s="22">
        <f>SUMIF('Deal Pipeline Log'!$G$4:$G$43,$A32,'Deal Pipeline Log'!$X$4:$X$43)</f>
        <v>5.46</v>
      </c>
    </row>
    <row r="33" spans="1:6" x14ac:dyDescent="0.35">
      <c r="A33" s="26" t="str">
        <f>'Settings and Scoring Rules'!A25</f>
        <v>Exclusivity / Diligence</v>
      </c>
      <c r="B33" s="18">
        <f>COUNTIF('Deal Pipeline Log'!$G$4:$G$43,$A33)</f>
        <v>0</v>
      </c>
      <c r="C33" s="18">
        <f>COUNTIFS('Deal Pipeline Log'!$G$4:$G$43,$A33,'Deal Pipeline Log'!$N$4:$N$43,1)</f>
        <v>0</v>
      </c>
      <c r="D33" s="22">
        <f>SUMIF('Deal Pipeline Log'!$G$4:$G$43,$A33,'Deal Pipeline Log'!$H$4:$H$43)</f>
        <v>0</v>
      </c>
      <c r="E33" s="22">
        <f>SUMIF('Deal Pipeline Log'!$G$4:$G$43,$A33,'Deal Pipeline Log'!$X$4:$X$43)</f>
        <v>0</v>
      </c>
    </row>
    <row r="34" spans="1:6" x14ac:dyDescent="0.35">
      <c r="A34" s="26" t="str">
        <f>'Settings and Scoring Rules'!A26</f>
        <v>Closed</v>
      </c>
      <c r="B34" s="18">
        <f>COUNTIF('Deal Pipeline Log'!$G$4:$G$43,$A34)</f>
        <v>0</v>
      </c>
      <c r="C34" s="18">
        <f>COUNTIFS('Deal Pipeline Log'!$G$4:$G$43,$A34,'Deal Pipeline Log'!$N$4:$N$43,1)</f>
        <v>0</v>
      </c>
      <c r="D34" s="22">
        <f>SUMIF('Deal Pipeline Log'!$G$4:$G$43,$A34,'Deal Pipeline Log'!$H$4:$H$43)</f>
        <v>0</v>
      </c>
      <c r="E34" s="22">
        <f>SUMIF('Deal Pipeline Log'!$G$4:$G$43,$A34,'Deal Pipeline Log'!$X$4:$X$43)</f>
        <v>0</v>
      </c>
    </row>
    <row r="35" spans="1:6" x14ac:dyDescent="0.35">
      <c r="A35" s="26" t="str">
        <f>'Settings and Scoring Rules'!A27</f>
        <v>Passed</v>
      </c>
      <c r="B35" s="18">
        <f>COUNTIF('Deal Pipeline Log'!$G$4:$G$43,$A35)</f>
        <v>1</v>
      </c>
      <c r="C35" s="18">
        <f>COUNTIFS('Deal Pipeline Log'!$G$4:$G$43,$A35,'Deal Pipeline Log'!$N$4:$N$43,1)</f>
        <v>0</v>
      </c>
      <c r="D35" s="22">
        <f>SUMIF('Deal Pipeline Log'!$G$4:$G$43,$A35,'Deal Pipeline Log'!$H$4:$H$43)</f>
        <v>11</v>
      </c>
      <c r="E35" s="22">
        <f>SUMIF('Deal Pipeline Log'!$G$4:$G$43,$A35,'Deal Pipeline Log'!$X$4:$X$43)</f>
        <v>0</v>
      </c>
    </row>
    <row r="36" spans="1:6" x14ac:dyDescent="0.35">
      <c r="A36" s="26" t="str">
        <f>'Settings and Scoring Rules'!A28</f>
        <v>Lost</v>
      </c>
      <c r="B36" s="18">
        <f>COUNTIF('Deal Pipeline Log'!$G$4:$G$43,$A36)</f>
        <v>1</v>
      </c>
      <c r="C36" s="18">
        <f>COUNTIFS('Deal Pipeline Log'!$G$4:$G$43,$A36,'Deal Pipeline Log'!$N$4:$N$43,1)</f>
        <v>0</v>
      </c>
      <c r="D36" s="22">
        <f>SUMIF('Deal Pipeline Log'!$G$4:$G$43,$A36,'Deal Pipeline Log'!$H$4:$H$43)</f>
        <v>8</v>
      </c>
      <c r="E36" s="22">
        <f>SUMIF('Deal Pipeline Log'!$G$4:$G$43,$A36,'Deal Pipeline Log'!$X$4:$X$43)</f>
        <v>0</v>
      </c>
    </row>
    <row r="37" spans="1:6" x14ac:dyDescent="0.35">
      <c r="A37" s="7" t="s">
        <v>91</v>
      </c>
      <c r="B37" s="27">
        <f>SUM(B27:B36)</f>
        <v>12</v>
      </c>
      <c r="C37" s="27">
        <f>SUM(C27:C36)</f>
        <v>10</v>
      </c>
      <c r="D37" s="28">
        <f>SUM(D27:D36)</f>
        <v>94</v>
      </c>
      <c r="E37" s="28">
        <f>SUM(E27:E36)</f>
        <v>21.980000000000004</v>
      </c>
    </row>
    <row r="39" spans="1:6" ht="15.5" x14ac:dyDescent="0.35">
      <c r="A39" s="4" t="s">
        <v>294</v>
      </c>
    </row>
    <row r="40" spans="1:6" x14ac:dyDescent="0.35">
      <c r="A40" s="5" t="s">
        <v>295</v>
      </c>
      <c r="B40" s="5" t="s">
        <v>296</v>
      </c>
      <c r="C40" s="5" t="s">
        <v>212</v>
      </c>
      <c r="D40" s="5" t="s">
        <v>297</v>
      </c>
    </row>
    <row r="41" spans="1:6" ht="29" x14ac:dyDescent="0.35">
      <c r="A41" s="7" t="s">
        <v>298</v>
      </c>
      <c r="B41" s="8" t="str">
        <f>IF(MAX('Deal Pipeline Log'!$V$4:$V$43)=0,"None",INDEX('Deal Pipeline Log'!$B$4:$B$43,MATCH(MAX('Deal Pipeline Log'!$V$4:$V$43),'Deal Pipeline Log'!$V$4:$V$43,0)))</f>
        <v>Project Granite</v>
      </c>
      <c r="C41" s="18">
        <f>MAX('Deal Pipeline Log'!$V$4:$V$43)</f>
        <v>19</v>
      </c>
      <c r="D41" s="8" t="str">
        <f>IF(C41=0,"-",INDEX('Deal Pipeline Log'!$K$4:$K$43,MATCH(C41,'Deal Pipeline Log'!$V$4:$V$43,0)))</f>
        <v>Schedule intro call with owner</v>
      </c>
    </row>
    <row r="42" spans="1:6" ht="29" x14ac:dyDescent="0.35">
      <c r="A42" s="7" t="s">
        <v>299</v>
      </c>
      <c r="B42" s="8" t="str">
        <f>IF(MAX('Follow-Up Cadence Tracker'!$H$5:$H$29)=0,"None",INDEX('Follow-Up Cadence Tracker'!$B$5:$B$29,MATCH(MAX('Follow-Up Cadence Tracker'!$H$5:$H$29),'Follow-Up Cadence Tracker'!$H$5:$H$29,0)))</f>
        <v>Banker I</v>
      </c>
      <c r="C42" s="18">
        <f>MAX('Follow-Up Cadence Tracker'!$H$5:$H$29)</f>
        <v>66</v>
      </c>
      <c r="D42" s="8" t="str">
        <f>IF(C42=0,"-","Call this week; confirm active mandates")</f>
        <v>Call this week; confirm active mandates</v>
      </c>
    </row>
    <row r="44" spans="1:6" ht="78" customHeight="1" x14ac:dyDescent="0.35">
      <c r="A44" s="7" t="s">
        <v>300</v>
      </c>
      <c r="B44" s="32" t="str">
        <f>"Top priority: "&amp;B19&amp;" (score "&amp;IFERROR(TEXT(C19,"0.0"),"-")&amp;", "&amp;D19&amp;", via "&amp;E19&amp;"). "&amp;B7&amp;" active of "&amp;B6&amp;" deals; probability-weighted EBITDA $"&amp;TEXT(B10,"0.00")&amp;"M. Follow-ups: "&amp;B11&amp;" overdue deal actions, "&amp;B12&amp;" overdue intermediary touches, "&amp;B13&amp;" due within "&amp;'Settings and Scoring Rules'!$B$7&amp;" days. Most overdue: "&amp;B41&amp;" ("&amp;C41&amp;"d) and "&amp;B42&amp;" ("&amp;C42&amp;"d). Health: "&amp;B15&amp;"."</f>
        <v>Top priority: Project Falcon (score 91.0, LOI Submitted, via Operator H). 10 active of 12 deals; probability-weighted EBITDA $21.98M. Follow-ups: 4 overdue deal actions, 4 overdue intermediary touches, 5 due within 7 days. Most overdue: Project Granite (19d) and Banker I (66d). Health: AT RISK - 8 overdue follow-ups; clear backlog before new outreach.</v>
      </c>
      <c r="C44" s="30"/>
      <c r="D44" s="30"/>
      <c r="E44" s="30"/>
      <c r="F44" s="31"/>
    </row>
    <row r="45" spans="1:6" ht="48" customHeight="1" x14ac:dyDescent="0.35">
      <c r="A45" s="7" t="s">
        <v>301</v>
      </c>
      <c r="B45" s="29" t="str">
        <f ca="1">_xlfn.FORMULATEXT(B15)</f>
        <v>=IF(B11+B12=0,"HEALTHY - no overdue follow-ups",IF(B11+B12&lt;=3,"ATTENTION - clear overdue follow-ups this week","AT RISK - "&amp;(B11+B12)&amp;" overdue follow-ups; clear backlog before new outreach"))</v>
      </c>
      <c r="C45" s="30"/>
      <c r="D45" s="30"/>
      <c r="E45" s="30"/>
      <c r="F45" s="31"/>
    </row>
  </sheetData>
  <mergeCells count="2">
    <mergeCell ref="B44:F44"/>
    <mergeCell ref="B45:F4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1"/>
  <sheetViews>
    <sheetView workbookViewId="0"/>
  </sheetViews>
  <sheetFormatPr defaultRowHeight="14.5" x14ac:dyDescent="0.35"/>
  <cols>
    <col min="1" max="1" width="38" customWidth="1"/>
    <col min="2" max="2" width="44" customWidth="1"/>
    <col min="3" max="4" width="30" customWidth="1"/>
    <col min="5" max="5" width="11" customWidth="1"/>
    <col min="6" max="6" width="22" customWidth="1"/>
    <col min="7" max="7" width="70" customWidth="1"/>
  </cols>
  <sheetData>
    <row r="1" spans="1:6" ht="18.5" x14ac:dyDescent="0.45">
      <c r="A1" s="1" t="s">
        <v>302</v>
      </c>
      <c r="B1" s="2"/>
      <c r="C1" s="2"/>
      <c r="D1" s="2"/>
      <c r="E1" s="2"/>
      <c r="F1" s="2"/>
    </row>
    <row r="2" spans="1:6" x14ac:dyDescent="0.35">
      <c r="A2" s="3" t="s">
        <v>303</v>
      </c>
    </row>
    <row r="3" spans="1:6" ht="15.5" x14ac:dyDescent="0.35">
      <c r="A3" s="4" t="s">
        <v>304</v>
      </c>
    </row>
    <row r="4" spans="1:6" x14ac:dyDescent="0.35">
      <c r="A4" t="s">
        <v>305</v>
      </c>
    </row>
    <row r="6" spans="1:6" ht="15.5" x14ac:dyDescent="0.35">
      <c r="A6" s="4" t="s">
        <v>306</v>
      </c>
    </row>
    <row r="7" spans="1:6" x14ac:dyDescent="0.35">
      <c r="A7" s="5" t="s">
        <v>263</v>
      </c>
      <c r="B7" s="5" t="s">
        <v>62</v>
      </c>
    </row>
    <row r="8" spans="1:6" x14ac:dyDescent="0.35">
      <c r="A8" s="7" t="s">
        <v>65</v>
      </c>
      <c r="B8" s="23">
        <f>'Ranking Dashboard'!B4</f>
        <v>46299</v>
      </c>
    </row>
    <row r="9" spans="1:6" x14ac:dyDescent="0.35">
      <c r="A9" s="7" t="s">
        <v>307</v>
      </c>
      <c r="B9" s="8" t="str">
        <f>'Ranking Dashboard'!B6&amp;" / "&amp;'Ranking Dashboard'!B7</f>
        <v>12 / 10</v>
      </c>
    </row>
    <row r="10" spans="1:6" x14ac:dyDescent="0.35">
      <c r="A10" s="7" t="s">
        <v>275</v>
      </c>
      <c r="B10" s="22">
        <f>'Ranking Dashboard'!B10</f>
        <v>21.98</v>
      </c>
    </row>
    <row r="11" spans="1:6" x14ac:dyDescent="0.35">
      <c r="A11" s="7" t="s">
        <v>277</v>
      </c>
      <c r="B11" s="18">
        <f>'Ranking Dashboard'!B11</f>
        <v>4</v>
      </c>
    </row>
    <row r="12" spans="1:6" x14ac:dyDescent="0.35">
      <c r="A12" s="7" t="s">
        <v>279</v>
      </c>
      <c r="B12" s="18">
        <f>'Ranking Dashboard'!B12</f>
        <v>4</v>
      </c>
    </row>
    <row r="13" spans="1:6" ht="32" customHeight="1" x14ac:dyDescent="0.35">
      <c r="A13" s="7" t="s">
        <v>284</v>
      </c>
      <c r="B13" s="8" t="str">
        <f>'Ranking Dashboard'!B15</f>
        <v>AT RISK - 8 overdue follow-ups; clear backlog before new outreach</v>
      </c>
    </row>
    <row r="14" spans="1:6" x14ac:dyDescent="0.35">
      <c r="A14" s="7" t="s">
        <v>308</v>
      </c>
      <c r="B14" s="8" t="str">
        <f>'Ranking Dashboard'!B19&amp;" - score "&amp;TEXT('Ranking Dashboard'!C19,"0.0")</f>
        <v>Project Falcon - score 91.0</v>
      </c>
    </row>
    <row r="15" spans="1:6" x14ac:dyDescent="0.35">
      <c r="A15" s="7" t="s">
        <v>309</v>
      </c>
      <c r="B15" s="8" t="str">
        <f>'Ranking Dashboard'!B20&amp;" - score "&amp;TEXT('Ranking Dashboard'!C20,"0.0")</f>
        <v>Project Atlas - score 79.0</v>
      </c>
    </row>
    <row r="16" spans="1:6" x14ac:dyDescent="0.35">
      <c r="A16" s="7" t="s">
        <v>310</v>
      </c>
      <c r="B16" s="8" t="str">
        <f>'Ranking Dashboard'!B21&amp;" - score "&amp;TEXT('Ranking Dashboard'!C21,"0.0")</f>
        <v>Project Cedar - score 63.5</v>
      </c>
    </row>
    <row r="18" spans="1:7" ht="15.5" x14ac:dyDescent="0.35">
      <c r="A18" s="4" t="s">
        <v>311</v>
      </c>
    </row>
    <row r="19" spans="1:7" x14ac:dyDescent="0.35">
      <c r="A19" s="5" t="s">
        <v>125</v>
      </c>
      <c r="B19" s="5" t="s">
        <v>312</v>
      </c>
      <c r="C19" s="5" t="s">
        <v>313</v>
      </c>
      <c r="D19" s="5" t="s">
        <v>314</v>
      </c>
      <c r="E19" s="5" t="s">
        <v>315</v>
      </c>
      <c r="F19" s="5" t="s">
        <v>316</v>
      </c>
      <c r="G19" s="5" t="s">
        <v>317</v>
      </c>
    </row>
    <row r="20" spans="1:7" ht="29" x14ac:dyDescent="0.35">
      <c r="A20" s="7" t="s">
        <v>318</v>
      </c>
      <c r="B20" s="6" t="s">
        <v>319</v>
      </c>
      <c r="C20" s="6" t="s">
        <v>320</v>
      </c>
      <c r="D20" s="6" t="s">
        <v>321</v>
      </c>
      <c r="E20" s="19">
        <f>100*'Settings and Scoring Rules'!$B$13*0.5</f>
        <v>7.5</v>
      </c>
      <c r="F20" s="6" t="s">
        <v>322</v>
      </c>
      <c r="G20" s="6" t="s">
        <v>323</v>
      </c>
    </row>
    <row r="21" spans="1:7" ht="29" x14ac:dyDescent="0.35">
      <c r="A21" s="7" t="s">
        <v>324</v>
      </c>
      <c r="B21" s="6" t="s">
        <v>325</v>
      </c>
      <c r="C21" s="6" t="s">
        <v>326</v>
      </c>
      <c r="D21" s="6" t="s">
        <v>327</v>
      </c>
      <c r="E21" s="19">
        <f>100*'Settings and Scoring Rules'!$B$12*0.25</f>
        <v>7.5</v>
      </c>
      <c r="F21" s="6" t="s">
        <v>328</v>
      </c>
      <c r="G21" s="6" t="s">
        <v>329</v>
      </c>
    </row>
    <row r="22" spans="1:7" ht="29" x14ac:dyDescent="0.35">
      <c r="A22" s="7" t="s">
        <v>330</v>
      </c>
      <c r="B22" s="6" t="s">
        <v>331</v>
      </c>
      <c r="C22" s="6" t="s">
        <v>332</v>
      </c>
      <c r="D22" s="6" t="s">
        <v>333</v>
      </c>
      <c r="E22" s="18">
        <f>COUNTIF('Deal Pipeline Log'!$N$4:$N$43,0)</f>
        <v>2</v>
      </c>
      <c r="F22" s="6" t="s">
        <v>334</v>
      </c>
      <c r="G22" s="6" t="s">
        <v>335</v>
      </c>
    </row>
    <row r="23" spans="1:7" ht="29" x14ac:dyDescent="0.35">
      <c r="A23" s="7" t="s">
        <v>336</v>
      </c>
      <c r="B23" s="6" t="s">
        <v>337</v>
      </c>
      <c r="C23" s="6" t="s">
        <v>338</v>
      </c>
      <c r="D23" s="6" t="s">
        <v>339</v>
      </c>
      <c r="E23" s="18">
        <f>'Ranking Dashboard'!B11+'Ranking Dashboard'!B12</f>
        <v>8</v>
      </c>
      <c r="F23" s="6" t="s">
        <v>340</v>
      </c>
      <c r="G23" s="6" t="s">
        <v>341</v>
      </c>
    </row>
    <row r="25" spans="1:7" ht="15.5" x14ac:dyDescent="0.35">
      <c r="A25" s="4" t="s">
        <v>342</v>
      </c>
    </row>
    <row r="26" spans="1:7" ht="64" customHeight="1" x14ac:dyDescent="0.35">
      <c r="A26" s="32" t="str">
        <f>'Ranking Dashboard'!B44</f>
        <v>Top priority: Project Falcon (score 91.0, LOI Submitted, via Operator H). 10 active of 12 deals; probability-weighted EBITDA $21.98M. Follow-ups: 4 overdue deal actions, 4 overdue intermediary touches, 5 due within 7 days. Most overdue: Project Granite (19d) and Banker I (66d). Health: AT RISK - 8 overdue follow-ups; clear backlog before new outreach.</v>
      </c>
      <c r="B26" s="30"/>
      <c r="C26" s="30"/>
      <c r="D26" s="30"/>
      <c r="E26" s="30"/>
      <c r="F26" s="30"/>
      <c r="G26" s="31"/>
    </row>
    <row r="28" spans="1:7" ht="15.5" x14ac:dyDescent="0.35">
      <c r="A28" s="4" t="s">
        <v>343</v>
      </c>
    </row>
    <row r="29" spans="1:7" x14ac:dyDescent="0.35">
      <c r="A29" t="s">
        <v>344</v>
      </c>
    </row>
    <row r="30" spans="1:7" x14ac:dyDescent="0.35">
      <c r="A30" t="s">
        <v>345</v>
      </c>
    </row>
    <row r="31" spans="1:7" x14ac:dyDescent="0.35">
      <c r="A31" t="s">
        <v>346</v>
      </c>
    </row>
  </sheetData>
  <mergeCells count="1">
    <mergeCell ref="A26:G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 - Validator Instructions</vt:lpstr>
      <vt:lpstr>Settings and Scoring Rules</vt:lpstr>
      <vt:lpstr>Intermediary Directory</vt:lpstr>
      <vt:lpstr>Deal Pipeline Log</vt:lpstr>
      <vt:lpstr>Follow-Up Cadence Tracker</vt:lpstr>
      <vt:lpstr>Ranking Dashboard</vt:lpstr>
      <vt:lpstr>Anonymized Worked 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Preston Arnold</cp:lastModifiedBy>
  <dcterms:created xsi:type="dcterms:W3CDTF">2026-10-04T13:48:18Z</dcterms:created>
  <dcterms:modified xsi:type="dcterms:W3CDTF">2026-10-04T13:49:03Z</dcterms:modified>
</cp:coreProperties>
</file>